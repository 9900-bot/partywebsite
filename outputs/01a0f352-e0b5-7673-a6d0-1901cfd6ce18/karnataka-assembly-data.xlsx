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2b5542b1594919" /></Relationships>
</file>

<file path=xl/workbook.xml><?xml version="1.0" encoding="utf-8"?>
<x:workbook xmlns:x="http://schemas.openxmlformats.org/spreadsheetml/2006/main">
  <x:sheets>
    <x:sheet xmlns:r="http://schemas.openxmlformats.org/officeDocument/2006/relationships" name="Summary" sheetId="1" r:id="Ra44e7188bcaa4cea"/>
    <x:sheet xmlns:r="http://schemas.openxmlformats.org/officeDocument/2006/relationships" name="Members" sheetId="2" r:id="R464d6332caa1468e"/>
    <x:sheet xmlns:r="http://schemas.openxmlformats.org/officeDocument/2006/relationships" name="Parties" sheetId="3" r:id="R45a483db7ed9431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0">
    <x:font>
      <x:sz val="11"/>
      <x:name val="Carlito"/>
    </x:font>
    <x:font>
      <x:b/>
      <x:sz val="16"/>
      <x:color rgb="FF173047"/>
      <x:name val="Arial"/>
    </x:font>
    <x:font>
      <x:i/>
      <x:sz val="9"/>
      <x:color rgb="FF657888"/>
      <x:name val="Arial"/>
    </x:font>
    <x:font>
      <x:sz val="10"/>
      <x:color rgb="FF173047"/>
      <x:name val="Arial"/>
    </x:font>
    <x:font>
      <x:b/>
      <x:sz val="9"/>
      <x:color rgb="FF657888"/>
      <x:name val="Arial"/>
    </x:font>
    <x:font>
      <x:b/>
      <x:sz val="12"/>
      <x:color rgb="FF173047"/>
      <x:name val="Arial"/>
    </x:font>
    <x:font>
      <x:b/>
      <x:sz val="10"/>
      <x:color rgb="FFFFFFFF"/>
      <x:name val="Arial"/>
    </x:font>
    <x:font>
      <x:b/>
      <x:sz val="10"/>
      <x:color rgb="FF7A5312"/>
      <x:name val="Arial"/>
    </x:font>
    <x:font>
      <x:sz val="10"/>
      <x:color rgb="FF6B5A35"/>
      <x:name val="Arial"/>
    </x:font>
    <x:font>
      <x:sz val="9"/>
      <x:color rgb="FF173047"/>
      <x:name val="Arial"/>
    </x:font>
  </x:fonts>
  <x:fills count="12">
    <x:fill>
      <x:patternFill patternType="none"/>
    </x:fill>
    <x:fill>
      <x:patternFill patternType="gray125"/>
    </x:fill>
    <x:fill>
      <x:patternFill patternType="solid">
        <x:fgColor rgb="FFE9F4F2"/>
      </x:patternFill>
    </x:fill>
    <x:fill>
      <x:patternFill patternType="solid">
        <x:fgColor rgb="FF173047"/>
      </x:patternFill>
    </x:fill>
    <x:fill>
      <x:patternFill patternType="solid">
        <x:fgColor rgb="FF00BFFF"/>
      </x:patternFill>
    </x:fill>
    <x:fill>
      <x:patternFill patternType="solid">
        <x:fgColor rgb="FFFF9933"/>
      </x:patternFill>
    </x:fill>
    <x:fill>
      <x:patternFill patternType="solid">
        <x:fgColor rgb="FF02865A"/>
      </x:patternFill>
    </x:fill>
    <x:fill>
      <x:patternFill patternType="solid">
        <x:fgColor rgb="FFFFFF00"/>
      </x:patternFill>
    </x:fill>
    <x:fill>
      <x:patternFill patternType="solid">
        <x:fgColor rgb="FFDCDCDC"/>
      </x:patternFill>
    </x:fill>
    <x:fill>
      <x:patternFill patternType="solid">
        <x:fgColor rgb="FFFFFFFF"/>
      </x:patternFill>
    </x:fill>
    <x:fill>
      <x:patternFill patternType="solid">
        <x:fgColor rgb="FFFFF4D9"/>
      </x:patternFill>
    </x:fill>
    <x:fill>
      <x:patternFill patternType="solid">
        <x:fgColor rgb="FFFFFAEC"/>
      </x:patternFill>
    </x:fill>
  </x:fills>
  <x:borders count="12">
    <x:border/>
    <x:border>
      <x:bottom style="thin">
        <x:color rgb="FF087F76"/>
      </x:bottom>
    </x:border>
    <x:border>
      <x:left style="thin">
        <x:color rgb="FFD8E2E7"/>
      </x:left>
      <x:top style="thin">
        <x:color rgb="FFD8E2E7"/>
      </x:top>
    </x:border>
    <x:border>
      <x:top style="thin">
        <x:color rgb="FFD8E2E7"/>
      </x:top>
    </x:border>
    <x:border>
      <x:right style="thin">
        <x:color rgb="FFD8E2E7"/>
      </x:right>
      <x:top style="thin">
        <x:color rgb="FFD8E2E7"/>
      </x:top>
    </x:border>
    <x:border>
      <x:left style="thin">
        <x:color rgb="FFD8E2E7"/>
      </x:left>
      <x:bottom style="thin">
        <x:color rgb="FFD8E2E7"/>
      </x:bottom>
    </x:border>
    <x:border>
      <x:bottom style="thin">
        <x:color rgb="FFD8E2E7"/>
      </x:bottom>
    </x:border>
    <x:border>
      <x:right style="thin">
        <x:color rgb="FFD8E2E7"/>
      </x:right>
      <x:bottom style="thin">
        <x:color rgb="FFD8E2E7"/>
      </x:bottom>
    </x:border>
    <x:border>
      <x:right style="thin">
        <x:color rgb="FFFFFFFF"/>
      </x:right>
    </x:border>
    <x:border>
      <x:left style="thin">
        <x:color rgb="FFFFFFFF"/>
      </x:left>
      <x:right style="thin">
        <x:color rgb="FFFFFFFF"/>
      </x:right>
    </x:border>
    <x:border>
      <x:left style="thin">
        <x:color rgb="FFFFFFFF"/>
      </x:left>
    </x:border>
    <x:border>
      <x:top style="thin">
        <x:color rgb="FFD8E2E7"/>
      </x:top>
      <x:bottom style="thin">
        <x:color rgb="FFD8E2E7"/>
      </x:bottom>
    </x:border>
  </x:borders>
  <x:cellStyleXfs count="1">
    <x:xf numFmtId="0" fontId="0" fillId="0" borderId="0"/>
  </x:cellStyleXfs>
  <x:cellXfs count="83">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5"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4" fillId="2" borderId="2" xfId="0" applyNumberFormat="1" applyFont="1" applyFill="1" applyBorder="1"/>
    <x:xf numFmtId="0" fontId="4" fillId="2" borderId="5" xfId="0" applyNumberFormat="1" applyFont="1" applyFill="1" applyBorder="1"/>
    <x:xf numFmtId="0" fontId="4" fillId="2" borderId="3" xfId="0" applyNumberFormat="1" applyFont="1" applyFill="1" applyBorder="1"/>
    <x:xf numFmtId="0" fontId="4" fillId="2" borderId="6" xfId="0" applyNumberFormat="1" applyFont="1" applyFill="1" applyBorder="1"/>
    <x:xf numFmtId="200" fontId="3" fillId="2" borderId="6" xfId="0" applyNumberFormat="1" applyFont="1" applyFill="1" applyBorder="1"/>
    <x:xf numFmtId="200" fontId="4" fillId="2" borderId="6" xfId="0" applyNumberFormat="1" applyFont="1" applyFill="1" applyBorder="1"/>
    <x:xf numFmtId="200" fontId="3" fillId="2" borderId="7" xfId="0" applyNumberFormat="1" applyFont="1" applyFill="1" applyBorder="1"/>
    <x:xf numFmtId="0" fontId="5" fillId="0" borderId="0"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6" fillId="3" borderId="8" xfId="0" applyNumberFormat="1" applyFont="1" applyFill="1" applyBorder="1"/>
    <x:xf numFmtId="0" fontId="6" fillId="3" borderId="9" xfId="0" applyNumberFormat="1" applyFont="1" applyFill="1" applyBorder="1"/>
    <x:xf numFmtId="0" fontId="6" fillId="3" borderId="10" xfId="0" applyNumberFormat="1" applyFont="1" applyFill="1" applyBorder="1"/>
    <x:xf numFmtId="0" fontId="6" fillId="3" borderId="8" xfId="0" applyNumberFormat="1" applyFont="1" applyFill="1" applyBorder="1" applyAlignment="1">
      <x:alignment wrapText="1"/>
    </x:xf>
    <x:xf numFmtId="0" fontId="6" fillId="3" borderId="9" xfId="0" applyNumberFormat="1" applyFont="1" applyFill="1" applyBorder="1" applyAlignment="1">
      <x:alignment wrapText="1"/>
    </x:xf>
    <x:xf numFmtId="0" fontId="6" fillId="3" borderId="10" xfId="0" applyNumberFormat="1" applyFont="1" applyFill="1" applyBorder="1" applyAlignment="1">
      <x:alignment wrapText="1"/>
    </x:xf>
    <x:xf numFmtId="0" fontId="6" fillId="3" borderId="8" xfId="0" applyNumberFormat="1" applyFont="1" applyFill="1" applyBorder="1" applyAlignment="1">
      <x:alignment horizontal="center" wrapText="1"/>
    </x:xf>
    <x:xf numFmtId="0" fontId="6" fillId="3" borderId="9" xfId="0" applyNumberFormat="1" applyFont="1" applyFill="1" applyBorder="1" applyAlignment="1">
      <x:alignment horizontal="center" wrapText="1"/>
    </x:xf>
    <x:xf numFmtId="0" fontId="6" fillId="3" borderId="10" xfId="0" applyNumberFormat="1" applyFont="1" applyFill="1" applyBorder="1" applyAlignment="1">
      <x:alignment horizontal="center" wrapText="1"/>
    </x:xf>
    <x:xf numFmtId="0" fontId="6" fillId="3" borderId="8" xfId="0" applyNumberFormat="1" applyFont="1" applyFill="1" applyBorder="1" applyAlignment="1">
      <x:alignment horizontal="center" vertical="center" wrapText="1"/>
    </x:xf>
    <x:xf numFmtId="0" fontId="6" fillId="3" borderId="9" xfId="0" applyNumberFormat="1" applyFont="1" applyFill="1" applyBorder="1" applyAlignment="1">
      <x:alignment horizontal="center" vertical="center" wrapText="1"/>
    </x:xf>
    <x:xf numFmtId="0" fontId="6" fillId="3" borderId="10" xfId="0" applyNumberFormat="1" applyFont="1" applyFill="1" applyBorder="1" applyAlignment="1">
      <x:alignment horizontal="center" vertical="center" wrapText="1"/>
    </x:xf>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3" fillId="4" borderId="0" xfId="0" applyNumberFormat="1" applyFont="1" applyFill="1" applyBorder="1"/>
    <x:xf numFmtId="0" fontId="3" fillId="5" borderId="0" xfId="0" applyNumberFormat="1" applyFont="1" applyFill="1" applyBorder="1"/>
    <x:xf numFmtId="0" fontId="3" fillId="6" borderId="0" xfId="0" applyNumberFormat="1" applyFont="1" applyFill="1" applyBorder="1"/>
    <x:xf numFmtId="0" fontId="3" fillId="7" borderId="0" xfId="0" applyNumberFormat="1" applyFont="1" applyFill="1" applyBorder="1"/>
    <x:xf numFmtId="0" fontId="3" fillId="8" borderId="0" xfId="0" applyNumberFormat="1" applyFont="1" applyFill="1" applyBorder="1"/>
    <x:xf numFmtId="0" fontId="3" fillId="9" borderId="0" xfId="0" applyNumberFormat="1" applyFont="1" applyFill="1" applyBorder="1"/>
    <x:xf numFmtId="0" fontId="3" fillId="0" borderId="6" xfId="0" applyNumberFormat="1" applyFont="1" applyFill="1" applyBorder="1"/>
    <x:xf numFmtId="0" fontId="3" fillId="4" borderId="6" xfId="0" applyNumberFormat="1" applyFont="1" applyFill="1" applyBorder="1"/>
    <x:xf numFmtId="0" fontId="3" fillId="0" borderId="11" xfId="0" applyNumberFormat="1" applyFont="1" applyFill="1" applyBorder="1"/>
    <x:xf numFmtId="0" fontId="3" fillId="5" borderId="11" xfId="0" applyNumberFormat="1" applyFont="1" applyFill="1" applyBorder="1"/>
    <x:xf numFmtId="0" fontId="3" fillId="6" borderId="11" xfId="0" applyNumberFormat="1" applyFont="1" applyFill="1" applyBorder="1"/>
    <x:xf numFmtId="0" fontId="3" fillId="7" borderId="11" xfId="0" applyNumberFormat="1" applyFont="1" applyFill="1" applyBorder="1"/>
    <x:xf numFmtId="0" fontId="3" fillId="8" borderId="11" xfId="0" applyNumberFormat="1" applyFont="1" applyFill="1" applyBorder="1"/>
    <x:xf numFmtId="0" fontId="3" fillId="9" borderId="11" xfId="0" applyNumberFormat="1" applyFont="1" applyFill="1" applyBorder="1"/>
    <x:xf numFmtId="200" fontId="3" fillId="0" borderId="6" xfId="0" applyNumberFormat="1" applyFont="1" applyFill="1" applyBorder="1"/>
    <x:xf numFmtId="200" fontId="3" fillId="0" borderId="11" xfId="0" applyNumberFormat="1" applyFont="1" applyFill="1" applyBorder="1"/>
    <x:xf numFmtId="200" fontId="3" fillId="0" borderId="6" xfId="0" applyNumberFormat="1" applyFont="1" applyFill="1" applyBorder="1" applyAlignment="1">
      <x:alignment horizontal="center"/>
    </x:xf>
    <x:xf numFmtId="0" fontId="3" fillId="4" borderId="6" xfId="0" applyNumberFormat="1" applyFont="1" applyFill="1" applyBorder="1" applyAlignment="1">
      <x:alignment horizontal="center"/>
    </x:xf>
    <x:xf numFmtId="200" fontId="3" fillId="0" borderId="11" xfId="0" applyNumberFormat="1" applyFont="1" applyFill="1" applyBorder="1" applyAlignment="1">
      <x:alignment horizontal="center"/>
    </x:xf>
    <x:xf numFmtId="0" fontId="3" fillId="5" borderId="11" xfId="0" applyNumberFormat="1" applyFont="1" applyFill="1" applyBorder="1" applyAlignment="1">
      <x:alignment horizontal="center"/>
    </x:xf>
    <x:xf numFmtId="0" fontId="3" fillId="6" borderId="11" xfId="0" applyNumberFormat="1" applyFont="1" applyFill="1" applyBorder="1" applyAlignment="1">
      <x:alignment horizontal="center"/>
    </x:xf>
    <x:xf numFmtId="0" fontId="3" fillId="7" borderId="11" xfId="0" applyNumberFormat="1" applyFont="1" applyFill="1" applyBorder="1" applyAlignment="1">
      <x:alignment horizontal="center"/>
    </x:xf>
    <x:xf numFmtId="0" fontId="3" fillId="8" borderId="11" xfId="0" applyNumberFormat="1" applyFont="1" applyFill="1" applyBorder="1" applyAlignment="1">
      <x:alignment horizontal="center"/>
    </x:xf>
    <x:xf numFmtId="0" fontId="3" fillId="9" borderId="1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vertical="center"/>
    </x:xf>
    <x:xf numFmtId="201" fontId="9" fillId="0" borderId="0" xfId="0" applyNumberFormat="1" applyFont="1" applyFill="1" applyBorder="1" applyAlignment="1">
      <x:alignment vertical="center"/>
    </x:xf>
    <x:xf numFmtId="201" fontId="9" fillId="0" borderId="0" xfId="0" applyNumberFormat="1" applyFont="1" applyFill="1" applyBorder="1" applyAlignment="1">
      <x:alignment horizontal="right" vertical="center"/>
    </x:xf>
    <x:xf numFmtId="0" fontId="9" fillId="0" borderId="0" xfId="0" applyNumberFormat="1" applyFont="1" applyFill="1" applyBorder="1" applyAlignment="1">
      <x:alignment horizontal="center" vertical="center"/>
    </x:xf>
    <x:xf numFmtId="0" fontId="9" fillId="0" borderId="0" xfId="0" applyNumberFormat="1" applyFont="1" applyFill="1" applyBorder="1" applyAlignment="1">
      <x:alignment vertical="center" wrapText="1"/>
    </x:xf>
    <x:xf numFmtId="0" fontId="9" fillId="5" borderId="0" xfId="0" applyNumberFormat="1" applyFont="1" applyFill="1" applyBorder="1" applyAlignment="1">
      <x:alignment horizontal="center" vertical="center"/>
    </x:xf>
    <x:xf numFmtId="0" fontId="9" fillId="4" borderId="0" xfId="0" applyNumberFormat="1" applyFont="1" applyFill="1" applyBorder="1" applyAlignment="1">
      <x:alignment horizontal="center" vertical="center"/>
    </x:xf>
    <x:xf numFmtId="0" fontId="9" fillId="6" borderId="0" xfId="0" applyNumberFormat="1" applyFont="1" applyFill="1" applyBorder="1" applyAlignment="1">
      <x:alignment horizontal="center" vertical="center"/>
    </x:xf>
    <x:xf numFmtId="0" fontId="9" fillId="8" borderId="0" xfId="0" applyNumberFormat="1" applyFont="1" applyFill="1" applyBorder="1" applyAlignment="1">
      <x:alignment horizontal="center" vertical="center"/>
    </x:xf>
    <x:xf numFmtId="0" fontId="9" fillId="9" borderId="0" xfId="0" applyNumberFormat="1" applyFont="1" applyFill="1" applyBorder="1" applyAlignment="1">
      <x:alignment horizontal="center" vertical="center"/>
    </x:xf>
    <x:xf numFmtId="0" fontId="9" fillId="7" borderId="0" xfId="0" applyNumberFormat="1" applyFont="1" applyFill="1" applyBorder="1" applyAlignment="1">
      <x:alignment horizontal="center" vertical="center"/>
    </x:xf>
    <x:xf numFmtId="20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8f1ce251a54f0e" /><Relationship Type="http://schemas.openxmlformats.org/officeDocument/2006/relationships/theme" Target="/xl/theme/theme1.xml" Id="Rc2a6409fb38941dd" /><Relationship Type="http://schemas.openxmlformats.org/officeDocument/2006/relationships/sharedStrings" Target="/xl/sharedStrings.xml" Id="Rae646e12721e4483" /><Relationship Type="http://schemas.openxmlformats.org/officeDocument/2006/relationships/worksheet" Target="/xl/worksheets/sheet1.xml" Id="Ra44e7188bcaa4cea" /><Relationship Type="http://schemas.openxmlformats.org/officeDocument/2006/relationships/worksheet" Target="/xl/worksheets/sheet2.xml" Id="R464d6332caa1468e" /><Relationship Type="http://schemas.openxmlformats.org/officeDocument/2006/relationships/worksheet" Target="/xl/worksheets/sheet3.xml" Id="R45a483db7ed9431d" /></Relationships>
</file>

<file path=xl/tables/table1.xml><?xml version="1.0" encoding="utf-8"?>
<x:table xmlns:x="http://schemas.openxmlformats.org/spreadsheetml/2006/main" id="1" name="AssemblyMembers" displayName="AssemblyMembers" ref="A6:L230" headerRowCount="1" totalsRowCount="0" totalsRowShown="0">
  <x:tableColumns count="12">
    <x:tableColumn id="1" name="AC No."/>
    <x:tableColumn id="2" name="Constituency"/>
    <x:tableColumn id="3" name="Reservation"/>
    <x:tableColumn id="4" name="District"/>
    <x:tableColumn id="5" name="Current member"/>
    <x:tableColumn id="6" name="Party ID"/>
    <x:tableColumn id="7" name="Party"/>
    <x:tableColumn id="8" name="Color hex"/>
    <x:tableColumn id="9" name="Remarks"/>
    <x:tableColumn id="10" name="Constituency source"/>
    <x:tableColumn id="11" name="Main table source"/>
    <x:tableColumn id="12" name="Historical entries"/>
  </x:tableColumns>
  <x:tableStyleInfo name="TableStyleMedium2" showFirstColumn="0" showLastColumn="0" showRowStripes="1" showColumnStripes="0"/>
</x:table>
</file>

<file path=xl/tables/table2.xml><?xml version="1.0" encoding="utf-8"?>
<x:table xmlns:x="http://schemas.openxmlformats.org/spreadsheetml/2006/main" id="2" name="PartyReference" displayName="PartyReference" ref="A5:F11" headerRowCount="1" totalsRowCount="0" totalsRowShown="0">
  <x:tableColumns count="6">
    <x:tableColumn id="1" name="Party ID"/>
    <x:tableColumn id="2" name="Abbreviation"/>
    <x:tableColumn id="3" name="Party"/>
    <x:tableColumn id="4" name="Summary seats"/>
    <x:tableColumn id="5" name="Color hex"/>
    <x:tableColumn id="6" name="Color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cbe400697f4e9f" /></Relationships>
</file>

<file path=xl/worksheets/_rels/sheet3.xml.rels>&#65279;<?xml version="1.0" encoding="utf-8"?><Relationships xmlns="http://schemas.openxmlformats.org/package/2006/relationships"><Relationship Type="http://schemas.openxmlformats.org/officeDocument/2006/relationships/table" Target="/xl/tables/table2.xml" Id="Rc8f65e5001b040f4" /></Relationships>
</file>

<file path=xl/worksheets/sheet1.xml><?xml version="1.0" encoding="utf-8"?>
<x:worksheet xmlns:x="http://schemas.openxmlformats.org/spreadsheetml/2006/main">
  <x:sheetPr>
    <x:tabColor rgb="FF173047"/>
  </x:sheetPr>
  <x:sheetViews>
    <x:sheetView showGridLines="0" workbookViewId="0"/>
  </x:sheetViews>
  <x:sheetFormatPr defaultRowHeight="15"/>
  <x:cols>
    <x:col min="1" max="1" width="15" hidden="0" customWidth="1"/>
    <x:col min="2" max="2" width="30" hidden="0" customWidth="1"/>
    <x:col min="3" max="3" width="18" hidden="0" customWidth="1"/>
    <x:col min="4" max="4" width="18" hidden="0" customWidth="1"/>
    <x:col min="5" max="5" width="18" hidden="0" customWidth="1"/>
    <x:col min="6" max="6" width="14" hidden="0" customWidth="1"/>
  </x:cols>
  <x:sheetData>
    <x:row r="2" ht="26" customHeight="1">
      <x:c r="A2" s="1" t="str">
        <x:v>Karnataka Legislative Assembly data</x:v>
      </x:c>
      <x:c r="B2" s="1"/>
      <x:c r="C2" s="1"/>
      <x:c r="D2" s="1"/>
      <x:c r="E2" s="1"/>
      <x:c r="F2" s="1"/>
    </x:row>
    <x:row r="3">
      <x:c r="A3" s="2"/>
      <x:c r="B3" s="2"/>
      <x:c r="C3" s="2"/>
      <x:c r="D3" s="2"/>
      <x:c r="E3" s="2"/>
      <x:c r="F3" s="2"/>
    </x:row>
    <x:row r="4">
      <x:c r="A4" s="3" t="str">
        <x:v>Source: https://en.wikipedia.org/wiki/Karnataka_Legislative_Assembly · Wikipedia revision 1376980974 · modified 2026-09-27</x:v>
      </x:c>
      <x:c r="B4" s="3"/>
      <x:c r="C4" s="3"/>
      <x:c r="D4" s="3"/>
      <x:c r="E4" s="3"/>
      <x:c r="F4" s="3"/>
    </x:row>
    <x:row r="6" ht="25" customHeight="1">
      <x:c r="A6" s="12" t="str">
        <x:v>Assembly</x:v>
      </x:c>
      <x:c r="B6" s="7" t="str">
        <x:v>16th Karnataka Assembly</x:v>
      </x:c>
      <x:c r="C6" s="14" t="str">
        <x:v>Term</x:v>
      </x:c>
      <x:c r="D6" s="7" t="str">
        <x:v>2023–2028</x:v>
      </x:c>
      <x:c r="E6" s="14" t="str">
        <x:v>Election</x:v>
      </x:c>
      <x:c r="F6" s="8" t="str">
        <x:v>2023-05-10</x:v>
      </x:c>
    </x:row>
    <x:row r="7" ht="25" customHeight="1">
      <x:c r="A7" s="13" t="str">
        <x:v>Total seats</x:v>
      </x:c>
      <x:c r="B7" s="16" t="n">
        <x:v>224</x:v>
      </x:c>
      <x:c r="C7" s="17" t="str">
        <x:v>Mapped members</x:v>
      </x:c>
      <x:c r="D7" s="16" t="n">
        <x:v>224</x:v>
      </x:c>
      <x:c r="E7" s="17" t="str">
        <x:v>Vacancies</x:v>
      </x:c>
      <x:c r="F7" s="18" t="n">
        <x:v>2</x:v>
      </x:c>
    </x:row>
    <x:row r="9">
      <x:c r="A9" s="19" t="str">
        <x:v>Party composition and workbook reconciliation</x:v>
      </x:c>
      <x:c r="B9" s="19"/>
      <x:c r="C9" s="19"/>
      <x:c r="D9" s="19"/>
      <x:c r="E9" s="19"/>
      <x:c r="F9" s="19"/>
    </x:row>
    <x:row r="10" ht="28" customHeight="1">
      <x:c r="A10" s="31" t="str">
        <x:v>Party ID</x:v>
      </x:c>
      <x:c r="B10" s="32" t="str">
        <x:v>Party</x:v>
      </x:c>
      <x:c r="C10" s="32" t="str">
        <x:v>Summary seats</x:v>
      </x:c>
      <x:c r="D10" s="32" t="str">
        <x:v>Member rows</x:v>
      </x:c>
      <x:c r="E10" s="32" t="str">
        <x:v>Variance</x:v>
      </x:c>
      <x:c r="F10" s="33" t="str">
        <x:v>Color</x:v>
      </x:c>
    </x:row>
    <x:row r="11">
      <x:c r="A11" s="46" t="str">
        <x:v>INC</x:v>
      </x:c>
      <x:c r="B11" s="46" t="str">
        <x:v>Indian National Congress</x:v>
      </x:c>
      <x:c r="C11" s="56" t="n">
        <x:v>136</x:v>
      </x:c>
      <x:c r="D11" s="56" t="n">
        <x:f>COUNTIF(Members!$F$7:$F$230,A11)</x:f>
        <x:v>135</x:v>
      </x:c>
      <x:c r="E11" s="56" t="n">
        <x:f>C11-D11</x:f>
        <x:v>1</x:v>
      </x:c>
      <x:c r="F11" s="57" t="str">
        <x:v>#00BFFF</x:v>
      </x:c>
    </x:row>
    <x:row r="12">
      <x:c r="A12" s="48" t="str">
        <x:v>BJP</x:v>
      </x:c>
      <x:c r="B12" s="48" t="str">
        <x:v>Bharatiya Janata Party</x:v>
      </x:c>
      <x:c r="C12" s="58" t="n">
        <x:v>63</x:v>
      </x:c>
      <x:c r="D12" s="58" t="n">
        <x:f>COUNTIF(Members!$F$7:$F$230,A12)</x:f>
        <x:v>63</x:v>
      </x:c>
      <x:c r="E12" s="58" t="n">
        <x:f>C12-D12</x:f>
        <x:v>0</x:v>
      </x:c>
      <x:c r="F12" s="59" t="str">
        <x:v>#FF9933</x:v>
      </x:c>
    </x:row>
    <x:row r="13">
      <x:c r="A13" s="48" t="str">
        <x:v>JDS</x:v>
      </x:c>
      <x:c r="B13" s="48" t="str">
        <x:v>Janata Dal (Secular)</x:v>
      </x:c>
      <x:c r="C13" s="58" t="n">
        <x:v>18</x:v>
      </x:c>
      <x:c r="D13" s="58" t="n">
        <x:f>COUNTIF(Members!$F$7:$F$230,A13)</x:f>
        <x:v>18</x:v>
      </x:c>
      <x:c r="E13" s="58" t="n">
        <x:f>C13-D13</x:f>
        <x:v>0</x:v>
      </x:c>
      <x:c r="F13" s="60" t="str">
        <x:v>#02865A</x:v>
      </x:c>
    </x:row>
    <x:row r="14">
      <x:c r="A14" s="48" t="str">
        <x:v>SKP</x:v>
      </x:c>
      <x:c r="B14" s="48" t="str">
        <x:v>Sarvodaya Karnataka Paksha</x:v>
      </x:c>
      <x:c r="C14" s="58" t="n">
        <x:v>1</x:v>
      </x:c>
      <x:c r="D14" s="58" t="n">
        <x:f>COUNTIF(Members!$F$7:$F$230,A14)</x:f>
        <x:v>1</x:v>
      </x:c>
      <x:c r="E14" s="58" t="n">
        <x:f>C14-D14</x:f>
        <x:v>0</x:v>
      </x:c>
      <x:c r="F14" s="61" t="str">
        <x:v>#FFFF00</x:v>
      </x:c>
    </x:row>
    <x:row r="15">
      <x:c r="A15" s="48" t="str">
        <x:v>IND</x:v>
      </x:c>
      <x:c r="B15" s="48" t="str">
        <x:v>Independent</x:v>
      </x:c>
      <x:c r="C15" s="58" t="n">
        <x:v>4</x:v>
      </x:c>
      <x:c r="D15" s="58" t="n">
        <x:f>COUNTIF(Members!$F$7:$F$230,A15)</x:f>
        <x:v>5</x:v>
      </x:c>
      <x:c r="E15" s="58" t="n">
        <x:f>C15-D15</x:f>
        <x:v>-1</x:v>
      </x:c>
      <x:c r="F15" s="62" t="str">
        <x:v>#DCDCDC</x:v>
      </x:c>
    </x:row>
    <x:row r="16">
      <x:c r="A16" s="48" t="str">
        <x:v>VAC</x:v>
      </x:c>
      <x:c r="B16" s="48" t="str">
        <x:v>Vacant</x:v>
      </x:c>
      <x:c r="C16" s="58" t="n">
        <x:v>2</x:v>
      </x:c>
      <x:c r="D16" s="58" t="n">
        <x:f>COUNTIF(Members!$F$7:$F$230,A16)</x:f>
        <x:v>2</x:v>
      </x:c>
      <x:c r="E16" s="58" t="n">
        <x:f>C16-D16</x:f>
        <x:v>0</x:v>
      </x:c>
      <x:c r="F16" s="63" t="str">
        <x:v>#FFFFFF</x:v>
      </x:c>
    </x:row>
    <x:row r="19">
      <x:c r="A19" s="65" t="str">
        <x:v>Source consistency note</x:v>
      </x:c>
      <x:c r="B19" s="65"/>
      <x:c r="C19" s="65"/>
      <x:c r="D19" s="65"/>
      <x:c r="E19" s="65"/>
      <x:c r="F19" s="65"/>
    </x:row>
    <x:row r="20" ht="32" customHeight="1">
      <x:c r="A20" s="69" t="str">
        <x:v>Wikipedia's composition summary reports INC 136 and IND 4. After applying the two vacancies named on the same page to the members table, the member rows resolve to INC 135 and IND 5. The workbook preserves both source statements and does not invent a reassignment.</x:v>
      </x:c>
      <x:c r="B20" s="69"/>
      <x:c r="C20" s="69"/>
      <x:c r="D20" s="69"/>
      <x:c r="E20" s="69"/>
      <x:c r="F20" s="69"/>
    </x:row>
    <x:row r="21" ht="32" customHeight="1">
      <x:c r="A21" s="69"/>
      <x:c r="B21" s="69"/>
      <x:c r="C21" s="69"/>
      <x:c r="D21" s="69"/>
      <x:c r="E21" s="69"/>
      <x:c r="F21" s="69"/>
    </x:row>
    <x:row r="23">
      <x:c r="A23" s="3" t="str">
        <x:v>The frontend JSON is regenerated by reading this exported workbook. Party colors and member records therefore share one auditable source.</x:v>
      </x:c>
      <x:c r="B23" s="3"/>
      <x:c r="C23" s="3"/>
      <x:c r="D23" s="3"/>
      <x:c r="E23" s="3"/>
      <x:c r="F23" s="3"/>
    </x:row>
  </x:sheetData>
  <x:mergeCells>
    <x:mergeCell ref="A2:F2"/>
    <x:mergeCell ref="A4:F4"/>
    <x:mergeCell ref="A19:F19"/>
    <x:mergeCell ref="A20:F21"/>
    <x:mergeCell ref="A23:F2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8" hidden="0" customWidth="1"/>
    <x:col min="2" max="2" width="25" hidden="0" customWidth="1"/>
    <x:col min="3" max="3" width="12" hidden="0" customWidth="1"/>
    <x:col min="4" max="4" width="20" hidden="0" customWidth="1"/>
    <x:col min="5" max="5" width="28" hidden="0" customWidth="1"/>
    <x:col min="6" max="6" width="10" hidden="0" customWidth="1"/>
    <x:col min="7" max="7" width="27" hidden="0" customWidth="1"/>
    <x:col min="8" max="8" width="12" hidden="0" customWidth="1"/>
    <x:col min="9" max="9" width="42" hidden="0" customWidth="1"/>
    <x:col min="10" max="10" width="42" hidden="0" customWidth="1"/>
    <x:col min="11" max="11" width="42" hidden="0" customWidth="1"/>
    <x:col min="12" max="12" width="52" hidden="0" customWidth="1"/>
  </x:cols>
  <x:sheetData>
    <x:row r="2" ht="26" customHeight="1">
      <x:c r="A2" s="1" t="str">
        <x:v>Current members by Assembly constituency</x:v>
      </x:c>
      <x:c r="B2" s="1"/>
      <x:c r="C2" s="1"/>
      <x:c r="D2" s="1"/>
      <x:c r="E2" s="1"/>
      <x:c r="F2" s="1"/>
      <x:c r="G2" s="1"/>
      <x:c r="H2" s="1"/>
      <x:c r="I2" s="1"/>
      <x:c r="J2" s="1"/>
      <x:c r="K2" s="1"/>
      <x:c r="L2" s="1"/>
    </x:row>
    <x:row r="3">
      <x:c r="A3" s="2"/>
      <x:c r="B3" s="2"/>
      <x:c r="C3" s="2"/>
      <x:c r="D3" s="2"/>
      <x:c r="E3" s="2"/>
      <x:c r="F3" s="2"/>
      <x:c r="G3" s="2"/>
      <x:c r="H3" s="2"/>
      <x:c r="I3" s="2"/>
      <x:c r="J3" s="2"/>
      <x:c r="K3" s="2"/>
      <x:c r="L3" s="2"/>
    </x:row>
    <x:row r="4">
      <x:c r="A4" s="3" t="str">
        <x:v>Source: https://en.wikipedia.org/wiki/Karnataka_Legislative_Assembly · Wikipedia revision 1376980974 · modified 2026-09-27</x:v>
      </x:c>
      <x:c r="B4" s="3"/>
      <x:c r="C4" s="3"/>
      <x:c r="D4" s="3"/>
      <x:c r="E4" s="3"/>
      <x:c r="F4" s="3"/>
      <x:c r="G4" s="3"/>
      <x:c r="H4" s="3"/>
      <x:c r="I4" s="3"/>
      <x:c r="J4" s="3"/>
      <x:c r="K4" s="3"/>
      <x:c r="L4" s="3"/>
    </x:row>
    <x:row r="6" ht="28" customHeight="1">
      <x:c r="A6" s="31" t="str">
        <x:v>AC No.</x:v>
      </x:c>
      <x:c r="B6" s="32" t="str">
        <x:v>Constituency</x:v>
      </x:c>
      <x:c r="C6" s="32" t="str">
        <x:v>Reservation</x:v>
      </x:c>
      <x:c r="D6" s="32" t="str">
        <x:v>District</x:v>
      </x:c>
      <x:c r="E6" s="32" t="str">
        <x:v>Current member</x:v>
      </x:c>
      <x:c r="F6" s="32" t="str">
        <x:v>Party ID</x:v>
      </x:c>
      <x:c r="G6" s="32" t="str">
        <x:v>Party</x:v>
      </x:c>
      <x:c r="H6" s="32" t="str">
        <x:v>Color hex</x:v>
      </x:c>
      <x:c r="I6" s="32" t="str">
        <x:v>Remarks</x:v>
      </x:c>
      <x:c r="J6" s="32" t="str">
        <x:v>Constituency source</x:v>
      </x:c>
      <x:c r="K6" s="32" t="str">
        <x:v>Main table source</x:v>
      </x:c>
      <x:c r="L6" s="33" t="str">
        <x:v>Historical entries</x:v>
      </x:c>
    </x:row>
    <x:row r="7">
      <x:c r="A7" s="73" t="n">
        <x:v>1</x:v>
      </x:c>
      <x:c r="B7" s="71" t="str">
        <x:v>Nippani</x:v>
      </x:c>
      <x:c r="C7" s="74" t="str">
        <x:v>GEN</x:v>
      </x:c>
      <x:c r="D7" s="71" t="str">
        <x:v>Belagavi</x:v>
      </x:c>
      <x:c r="E7" s="71" t="str">
        <x:v>Shashikala Jolle</x:v>
      </x:c>
      <x:c r="F7" s="74" t="str">
        <x:v>BJP</x:v>
      </x:c>
      <x:c r="G7" s="71" t="str">
        <x:v>Bharatiya Janata Party</x:v>
      </x:c>
      <x:c r="H7" s="76" t="str">
        <x:v>#FF9933</x:v>
      </x:c>
      <x:c r="I7" s="75" t="str"/>
      <x:c r="J7" s="75" t="str">
        <x:v>https://en.wikipedia.org/wiki/Nippani_Assembly_constituency</x:v>
      </x:c>
      <x:c r="K7" s="75" t="str">
        <x:v>https://en.wikipedia.org/wiki/Karnataka_Legislative_Assembly</x:v>
      </x:c>
      <x:c r="L7" s="75" t="str"/>
    </x:row>
    <x:row r="8">
      <x:c r="A8" s="73" t="n">
        <x:v>2</x:v>
      </x:c>
      <x:c r="B8" s="71" t="str">
        <x:v>Chikkodi-Sadalga</x:v>
      </x:c>
      <x:c r="C8" s="74" t="str">
        <x:v>GEN</x:v>
      </x:c>
      <x:c r="D8" s="71" t="str">
        <x:v>Belagavi</x:v>
      </x:c>
      <x:c r="E8" s="71" t="str">
        <x:v>Ganesh Hukkeri</x:v>
      </x:c>
      <x:c r="F8" s="74" t="str">
        <x:v>INC</x:v>
      </x:c>
      <x:c r="G8" s="71" t="str">
        <x:v>Indian National Congress</x:v>
      </x:c>
      <x:c r="H8" s="77" t="str">
        <x:v>#00BFFF</x:v>
      </x:c>
      <x:c r="I8" s="75" t="str"/>
      <x:c r="J8" s="75" t="str">
        <x:v>https://en.wikipedia.org/wiki/Chikkodi-Sadalga_(Vidhana_Sabha_constituency)</x:v>
      </x:c>
      <x:c r="K8" s="75" t="str">
        <x:v>https://en.wikipedia.org/wiki/Karnataka_Legislative_Assembly</x:v>
      </x:c>
      <x:c r="L8" s="75" t="str"/>
    </x:row>
    <x:row r="9">
      <x:c r="A9" s="73" t="n">
        <x:v>3</x:v>
      </x:c>
      <x:c r="B9" s="71" t="str">
        <x:v>Athani</x:v>
      </x:c>
      <x:c r="C9" s="74" t="str">
        <x:v>GEN</x:v>
      </x:c>
      <x:c r="D9" s="71" t="str">
        <x:v>Belagavi</x:v>
      </x:c>
      <x:c r="E9" s="71" t="str">
        <x:v>Laxman Savadi</x:v>
      </x:c>
      <x:c r="F9" s="74" t="str">
        <x:v>INC</x:v>
      </x:c>
      <x:c r="G9" s="71" t="str">
        <x:v>Indian National Congress</x:v>
      </x:c>
      <x:c r="H9" s="77" t="str">
        <x:v>#00BFFF</x:v>
      </x:c>
      <x:c r="I9" s="75" t="str"/>
      <x:c r="J9" s="75" t="str">
        <x:v>https://en.wikipedia.org/wiki/Athani_(Vidhana_Sabha_constituency)</x:v>
      </x:c>
      <x:c r="K9" s="75" t="str">
        <x:v>https://en.wikipedia.org/wiki/Karnataka_Legislative_Assembly</x:v>
      </x:c>
      <x:c r="L9" s="75" t="str"/>
    </x:row>
    <x:row r="10">
      <x:c r="A10" s="73" t="n">
        <x:v>4</x:v>
      </x:c>
      <x:c r="B10" s="71" t="str">
        <x:v>Kagwad</x:v>
      </x:c>
      <x:c r="C10" s="74" t="str">
        <x:v>GEN</x:v>
      </x:c>
      <x:c r="D10" s="71" t="str">
        <x:v>Belagavi</x:v>
      </x:c>
      <x:c r="E10" s="71" t="str">
        <x:v>Raju Kage</x:v>
      </x:c>
      <x:c r="F10" s="74" t="str">
        <x:v>INC</x:v>
      </x:c>
      <x:c r="G10" s="71" t="str">
        <x:v>Indian National Congress</x:v>
      </x:c>
      <x:c r="H10" s="77" t="str">
        <x:v>#00BFFF</x:v>
      </x:c>
      <x:c r="I10" s="75" t="str"/>
      <x:c r="J10" s="75" t="str">
        <x:v>https://en.wikipedia.org/wiki/Kagwad_(Vidhana_Sabha_constituency)</x:v>
      </x:c>
      <x:c r="K10" s="75" t="str">
        <x:v>https://en.wikipedia.org/wiki/Karnataka_Legislative_Assembly</x:v>
      </x:c>
      <x:c r="L10" s="75" t="str"/>
    </x:row>
    <x:row r="11">
      <x:c r="A11" s="73" t="n">
        <x:v>5</x:v>
      </x:c>
      <x:c r="B11" s="71" t="str">
        <x:v>Kudachi</x:v>
      </x:c>
      <x:c r="C11" s="74" t="str">
        <x:v>SC</x:v>
      </x:c>
      <x:c r="D11" s="71" t="str">
        <x:v>Belagavi</x:v>
      </x:c>
      <x:c r="E11" s="71" t="str">
        <x:v>Mahendra Kallappa Tammannavar</x:v>
      </x:c>
      <x:c r="F11" s="74" t="str">
        <x:v>INC</x:v>
      </x:c>
      <x:c r="G11" s="71" t="str">
        <x:v>Indian National Congress</x:v>
      </x:c>
      <x:c r="H11" s="77" t="str">
        <x:v>#00BFFF</x:v>
      </x:c>
      <x:c r="I11" s="75" t="str"/>
      <x:c r="J11" s="75" t="str">
        <x:v>https://en.wikipedia.org/wiki/Kudachi_(Vidhana_Sabha_constituency)</x:v>
      </x:c>
      <x:c r="K11" s="75" t="str">
        <x:v>https://en.wikipedia.org/wiki/Karnataka_Legislative_Assembly</x:v>
      </x:c>
      <x:c r="L11" s="75" t="str"/>
    </x:row>
    <x:row r="12">
      <x:c r="A12" s="73" t="n">
        <x:v>6</x:v>
      </x:c>
      <x:c r="B12" s="71" t="str">
        <x:v>Raibag</x:v>
      </x:c>
      <x:c r="C12" s="74" t="str">
        <x:v>SC</x:v>
      </x:c>
      <x:c r="D12" s="71" t="str">
        <x:v>Belagavi</x:v>
      </x:c>
      <x:c r="E12" s="71" t="str">
        <x:v>Duryodhan Aihole</x:v>
      </x:c>
      <x:c r="F12" s="74" t="str">
        <x:v>BJP</x:v>
      </x:c>
      <x:c r="G12" s="71" t="str">
        <x:v>Bharatiya Janata Party</x:v>
      </x:c>
      <x:c r="H12" s="76" t="str">
        <x:v>#FF9933</x:v>
      </x:c>
      <x:c r="I12" s="75" t="str"/>
      <x:c r="J12" s="75" t="str">
        <x:v>https://en.wikipedia.org/wiki/Raibag_(Vidhana_Sabha_constituency)</x:v>
      </x:c>
      <x:c r="K12" s="75" t="str">
        <x:v>https://en.wikipedia.org/wiki/Karnataka_Legislative_Assembly</x:v>
      </x:c>
      <x:c r="L12" s="75" t="str"/>
    </x:row>
    <x:row r="13">
      <x:c r="A13" s="73" t="n">
        <x:v>7</x:v>
      </x:c>
      <x:c r="B13" s="71" t="str">
        <x:v>Hukkeri</x:v>
      </x:c>
      <x:c r="C13" s="74" t="str">
        <x:v>GEN</x:v>
      </x:c>
      <x:c r="D13" s="71" t="str">
        <x:v>Belagavi</x:v>
      </x:c>
      <x:c r="E13" s="71" t="str">
        <x:v>Nikhil Katti</x:v>
      </x:c>
      <x:c r="F13" s="74" t="str">
        <x:v>BJP</x:v>
      </x:c>
      <x:c r="G13" s="71" t="str">
        <x:v>Bharatiya Janata Party</x:v>
      </x:c>
      <x:c r="H13" s="76" t="str">
        <x:v>#FF9933</x:v>
      </x:c>
      <x:c r="I13" s="75" t="str"/>
      <x:c r="J13" s="75" t="str">
        <x:v>https://en.wikipedia.org/wiki/Hukkeri_(Vidhana_Sabha_constituency)</x:v>
      </x:c>
      <x:c r="K13" s="75" t="str">
        <x:v>https://en.wikipedia.org/wiki/Karnataka_Legislative_Assembly</x:v>
      </x:c>
      <x:c r="L13" s="75" t="str"/>
    </x:row>
    <x:row r="14">
      <x:c r="A14" s="73" t="n">
        <x:v>8</x:v>
      </x:c>
      <x:c r="B14" s="71" t="str">
        <x:v>Arabhavi</x:v>
      </x:c>
      <x:c r="C14" s="74" t="str">
        <x:v>GEN</x:v>
      </x:c>
      <x:c r="D14" s="71" t="str">
        <x:v>Belagavi</x:v>
      </x:c>
      <x:c r="E14" s="71" t="str">
        <x:v>Balachandra Jarkiholi</x:v>
      </x:c>
      <x:c r="F14" s="74" t="str">
        <x:v>BJP</x:v>
      </x:c>
      <x:c r="G14" s="71" t="str">
        <x:v>Bharatiya Janata Party</x:v>
      </x:c>
      <x:c r="H14" s="76" t="str">
        <x:v>#FF9933</x:v>
      </x:c>
      <x:c r="I14" s="75" t="str"/>
      <x:c r="J14" s="75" t="str">
        <x:v>https://en.wikipedia.org/wiki/Arabhavi_(Vidhana_Sabha_constituency)</x:v>
      </x:c>
      <x:c r="K14" s="75" t="str">
        <x:v>https://en.wikipedia.org/wiki/Karnataka_Legislative_Assembly</x:v>
      </x:c>
      <x:c r="L14" s="75" t="str"/>
    </x:row>
    <x:row r="15">
      <x:c r="A15" s="73" t="n">
        <x:v>9</x:v>
      </x:c>
      <x:c r="B15" s="71" t="str">
        <x:v>Gokak</x:v>
      </x:c>
      <x:c r="C15" s="74" t="str">
        <x:v>GEN</x:v>
      </x:c>
      <x:c r="D15" s="71" t="str">
        <x:v>Belagavi</x:v>
      </x:c>
      <x:c r="E15" s="71" t="str">
        <x:v>Ramesh Jarkiholi</x:v>
      </x:c>
      <x:c r="F15" s="74" t="str">
        <x:v>BJP</x:v>
      </x:c>
      <x:c r="G15" s="71" t="str">
        <x:v>Bharatiya Janata Party</x:v>
      </x:c>
      <x:c r="H15" s="76" t="str">
        <x:v>#FF9933</x:v>
      </x:c>
      <x:c r="I15" s="75" t="str"/>
      <x:c r="J15" s="75" t="str">
        <x:v>https://en.wikipedia.org/wiki/Gokak_(Vidhana_Sabha_constituency)</x:v>
      </x:c>
      <x:c r="K15" s="75" t="str">
        <x:v>https://en.wikipedia.org/wiki/Karnataka_Legislative_Assembly</x:v>
      </x:c>
      <x:c r="L15" s="75" t="str"/>
    </x:row>
    <x:row r="16">
      <x:c r="A16" s="73" t="n">
        <x:v>10</x:v>
      </x:c>
      <x:c r="B16" s="71" t="str">
        <x:v>Yemkanmardi</x:v>
      </x:c>
      <x:c r="C16" s="74" t="str">
        <x:v>ST</x:v>
      </x:c>
      <x:c r="D16" s="71" t="str">
        <x:v>Belagavi</x:v>
      </x:c>
      <x:c r="E16" s="71" t="str">
        <x:v>Satish Jarkiholi</x:v>
      </x:c>
      <x:c r="F16" s="74" t="str">
        <x:v>INC</x:v>
      </x:c>
      <x:c r="G16" s="71" t="str">
        <x:v>Indian National Congress</x:v>
      </x:c>
      <x:c r="H16" s="77" t="str">
        <x:v>#00BFFF</x:v>
      </x:c>
      <x:c r="I16" s="75" t="str">
        <x:v>Cabinet Minister (Shivakumar ministry)</x:v>
      </x:c>
      <x:c r="J16" s="75" t="str">
        <x:v>https://en.wikipedia.org/wiki/Yemkanmardi_(Vidhana_Sabha_constituency)</x:v>
      </x:c>
      <x:c r="K16" s="75" t="str">
        <x:v>https://en.wikipedia.org/wiki/Karnataka_Legislative_Assembly</x:v>
      </x:c>
      <x:c r="L16" s="75" t="str"/>
    </x:row>
    <x:row r="17">
      <x:c r="A17" s="73" t="n">
        <x:v>11</x:v>
      </x:c>
      <x:c r="B17" s="71" t="str">
        <x:v>Belgaum Uttar</x:v>
      </x:c>
      <x:c r="C17" s="74" t="str">
        <x:v>GEN</x:v>
      </x:c>
      <x:c r="D17" s="71" t="str">
        <x:v>Belagavi</x:v>
      </x:c>
      <x:c r="E17" s="71" t="str">
        <x:v>Asif Sait</x:v>
      </x:c>
      <x:c r="F17" s="74" t="str">
        <x:v>INC</x:v>
      </x:c>
      <x:c r="G17" s="71" t="str">
        <x:v>Indian National Congress</x:v>
      </x:c>
      <x:c r="H17" s="77" t="str">
        <x:v>#00BFFF</x:v>
      </x:c>
      <x:c r="I17" s="75" t="str"/>
      <x:c r="J17" s="75" t="str">
        <x:v>https://en.wikipedia.org/wiki/Belgaum_Uttar_(Vidhana_Sabha_constituency)</x:v>
      </x:c>
      <x:c r="K17" s="75" t="str">
        <x:v>https://en.wikipedia.org/wiki/Karnataka_Legislative_Assembly</x:v>
      </x:c>
      <x:c r="L17" s="75" t="str"/>
    </x:row>
    <x:row r="18">
      <x:c r="A18" s="73" t="n">
        <x:v>12</x:v>
      </x:c>
      <x:c r="B18" s="71" t="str">
        <x:v>Belgaum Dakshin</x:v>
      </x:c>
      <x:c r="C18" s="74" t="str">
        <x:v>GEN</x:v>
      </x:c>
      <x:c r="D18" s="71" t="str">
        <x:v>Belagavi</x:v>
      </x:c>
      <x:c r="E18" s="71" t="str">
        <x:v>Abhay Patil</x:v>
      </x:c>
      <x:c r="F18" s="74" t="str">
        <x:v>BJP</x:v>
      </x:c>
      <x:c r="G18" s="71" t="str">
        <x:v>Bharatiya Janata Party</x:v>
      </x:c>
      <x:c r="H18" s="76" t="str">
        <x:v>#FF9933</x:v>
      </x:c>
      <x:c r="I18" s="75" t="str"/>
      <x:c r="J18" s="75" t="str">
        <x:v>https://en.wikipedia.org/wiki/Belagavi_Dakshin_(Vidhana_Sabha_constituency)</x:v>
      </x:c>
      <x:c r="K18" s="75" t="str">
        <x:v>https://en.wikipedia.org/wiki/Karnataka_Legislative_Assembly</x:v>
      </x:c>
      <x:c r="L18" s="75" t="str"/>
    </x:row>
    <x:row r="19">
      <x:c r="A19" s="73" t="n">
        <x:v>13</x:v>
      </x:c>
      <x:c r="B19" s="71" t="str">
        <x:v>Belgaum Rural</x:v>
      </x:c>
      <x:c r="C19" s="74" t="str">
        <x:v>GEN</x:v>
      </x:c>
      <x:c r="D19" s="71" t="str">
        <x:v>Belagavi</x:v>
      </x:c>
      <x:c r="E19" s="71" t="str">
        <x:v>Lakshmi Hebbalkar</x:v>
      </x:c>
      <x:c r="F19" s="74" t="str">
        <x:v>INC</x:v>
      </x:c>
      <x:c r="G19" s="71" t="str">
        <x:v>Indian National Congress</x:v>
      </x:c>
      <x:c r="H19" s="77" t="str">
        <x:v>#00BFFF</x:v>
      </x:c>
      <x:c r="I19" s="75" t="str">
        <x:v>Cabinet Minister (Second Siddaramaiah ministry)</x:v>
      </x:c>
      <x:c r="J19" s="75" t="str">
        <x:v>https://en.wikipedia.org/wiki/Belgaum_Rural_(Vidhana_Sabha_constituency)</x:v>
      </x:c>
      <x:c r="K19" s="75" t="str">
        <x:v>https://en.wikipedia.org/wiki/Karnataka_Legislative_Assembly</x:v>
      </x:c>
      <x:c r="L19" s="75" t="str"/>
    </x:row>
    <x:row r="20">
      <x:c r="A20" s="73" t="n">
        <x:v>14</x:v>
      </x:c>
      <x:c r="B20" s="71" t="str">
        <x:v>Khanapur</x:v>
      </x:c>
      <x:c r="C20" s="74" t="str">
        <x:v>GEN</x:v>
      </x:c>
      <x:c r="D20" s="71" t="str">
        <x:v>Belagavi</x:v>
      </x:c>
      <x:c r="E20" s="71" t="str">
        <x:v>Vithal Halagekar</x:v>
      </x:c>
      <x:c r="F20" s="74" t="str">
        <x:v>BJP</x:v>
      </x:c>
      <x:c r="G20" s="71" t="str">
        <x:v>Bharatiya Janata Party</x:v>
      </x:c>
      <x:c r="H20" s="76" t="str">
        <x:v>#FF9933</x:v>
      </x:c>
      <x:c r="I20" s="75" t="str"/>
      <x:c r="J20" s="75" t="str">
        <x:v>https://en.wikipedia.org/wiki/Khanapur_(Vidhana_Sabha_constituency)</x:v>
      </x:c>
      <x:c r="K20" s="75" t="str">
        <x:v>https://en.wikipedia.org/wiki/Karnataka_Legislative_Assembly</x:v>
      </x:c>
      <x:c r="L20" s="75" t="str"/>
    </x:row>
    <x:row r="21">
      <x:c r="A21" s="73" t="n">
        <x:v>15</x:v>
      </x:c>
      <x:c r="B21" s="71" t="str">
        <x:v>Kittur</x:v>
      </x:c>
      <x:c r="C21" s="74" t="str">
        <x:v>GEN</x:v>
      </x:c>
      <x:c r="D21" s="71" t="str">
        <x:v>Belagavi</x:v>
      </x:c>
      <x:c r="E21" s="71" t="str">
        <x:v>Babasaheb Devanagouda Patil</x:v>
      </x:c>
      <x:c r="F21" s="74" t="str">
        <x:v>INC</x:v>
      </x:c>
      <x:c r="G21" s="71" t="str">
        <x:v>Indian National Congress</x:v>
      </x:c>
      <x:c r="H21" s="77" t="str">
        <x:v>#00BFFF</x:v>
      </x:c>
      <x:c r="I21" s="75" t="str"/>
      <x:c r="J21" s="75" t="str">
        <x:v>https://en.wikipedia.org/wiki/Kittur_(Vidhana_Sabha_constituency)</x:v>
      </x:c>
      <x:c r="K21" s="75" t="str">
        <x:v>https://en.wikipedia.org/wiki/Karnataka_Legislative_Assembly</x:v>
      </x:c>
      <x:c r="L21" s="75" t="str"/>
    </x:row>
    <x:row r="22">
      <x:c r="A22" s="73" t="n">
        <x:v>16</x:v>
      </x:c>
      <x:c r="B22" s="71" t="str">
        <x:v>Bailhongal</x:v>
      </x:c>
      <x:c r="C22" s="74" t="str">
        <x:v>GEN</x:v>
      </x:c>
      <x:c r="D22" s="71" t="str">
        <x:v>Belagavi</x:v>
      </x:c>
      <x:c r="E22" s="71" t="str">
        <x:v>Mahantesh Koujalagi</x:v>
      </x:c>
      <x:c r="F22" s="74" t="str">
        <x:v>INC</x:v>
      </x:c>
      <x:c r="G22" s="71" t="str">
        <x:v>Indian National Congress</x:v>
      </x:c>
      <x:c r="H22" s="77" t="str">
        <x:v>#00BFFF</x:v>
      </x:c>
      <x:c r="I22" s="75" t="str"/>
      <x:c r="J22" s="75" t="str">
        <x:v>https://en.wikipedia.org/wiki/Bailhongal_(Vidhana_Sabha_constituency)</x:v>
      </x:c>
      <x:c r="K22" s="75" t="str">
        <x:v>https://en.wikipedia.org/wiki/Karnataka_Legislative_Assembly</x:v>
      </x:c>
      <x:c r="L22" s="75" t="str"/>
    </x:row>
    <x:row r="23">
      <x:c r="A23" s="73" t="n">
        <x:v>17</x:v>
      </x:c>
      <x:c r="B23" s="71" t="str">
        <x:v>Saundatti Yellamma</x:v>
      </x:c>
      <x:c r="C23" s="74" t="str">
        <x:v>GEN</x:v>
      </x:c>
      <x:c r="D23" s="71" t="str">
        <x:v>Belagavi</x:v>
      </x:c>
      <x:c r="E23" s="71" t="str">
        <x:v>Vishwas Vasant Vaidya</x:v>
      </x:c>
      <x:c r="F23" s="74" t="str">
        <x:v>INC</x:v>
      </x:c>
      <x:c r="G23" s="71" t="str">
        <x:v>Indian National Congress</x:v>
      </x:c>
      <x:c r="H23" s="77" t="str">
        <x:v>#00BFFF</x:v>
      </x:c>
      <x:c r="I23" s="75" t="str"/>
      <x:c r="J23" s="75" t="str">
        <x:v>https://en.wikipedia.org/wiki/Saundatti_Yellamma_(Vidhana_Sabha_constituency)</x:v>
      </x:c>
      <x:c r="K23" s="75" t="str">
        <x:v>https://en.wikipedia.org/wiki/Karnataka_Legislative_Assembly</x:v>
      </x:c>
      <x:c r="L23" s="75" t="str"/>
    </x:row>
    <x:row r="24">
      <x:c r="A24" s="73" t="n">
        <x:v>18</x:v>
      </x:c>
      <x:c r="B24" s="71" t="str">
        <x:v>Ramdurg</x:v>
      </x:c>
      <x:c r="C24" s="74" t="str">
        <x:v>GEN</x:v>
      </x:c>
      <x:c r="D24" s="71" t="str">
        <x:v>Belagavi</x:v>
      </x:c>
      <x:c r="E24" s="71" t="str">
        <x:v>Ashok Pattan</x:v>
      </x:c>
      <x:c r="F24" s="74" t="str">
        <x:v>INC</x:v>
      </x:c>
      <x:c r="G24" s="71" t="str">
        <x:v>Indian National Congress</x:v>
      </x:c>
      <x:c r="H24" s="77" t="str">
        <x:v>#00BFFF</x:v>
      </x:c>
      <x:c r="I24" s="75" t="str"/>
      <x:c r="J24" s="75" t="str">
        <x:v>https://en.wikipedia.org/wiki/Ramdurg_(Vidhana_Sabha_constituency)</x:v>
      </x:c>
      <x:c r="K24" s="75" t="str">
        <x:v>https://en.wikipedia.org/wiki/Karnataka_Legislative_Assembly</x:v>
      </x:c>
      <x:c r="L24" s="75" t="str"/>
    </x:row>
    <x:row r="25">
      <x:c r="A25" s="73" t="n">
        <x:v>19</x:v>
      </x:c>
      <x:c r="B25" s="71" t="str">
        <x:v>Mudhol</x:v>
      </x:c>
      <x:c r="C25" s="74" t="str">
        <x:v>SC</x:v>
      </x:c>
      <x:c r="D25" s="71" t="str">
        <x:v>Bagalkot</x:v>
      </x:c>
      <x:c r="E25" s="71" t="str">
        <x:v>R. B. Timmapur</x:v>
      </x:c>
      <x:c r="F25" s="74" t="str">
        <x:v>INC</x:v>
      </x:c>
      <x:c r="G25" s="71" t="str">
        <x:v>Indian National Congress</x:v>
      </x:c>
      <x:c r="H25" s="77" t="str">
        <x:v>#00BFFF</x:v>
      </x:c>
      <x:c r="I25" s="75" t="str"/>
      <x:c r="J25" s="75" t="str">
        <x:v>https://en.wikipedia.org/wiki/Mudhol_(Vidhana_Sabha_constituency)</x:v>
      </x:c>
      <x:c r="K25" s="75" t="str">
        <x:v>https://en.wikipedia.org/wiki/Karnataka_Legislative_Assembly</x:v>
      </x:c>
      <x:c r="L25" s="75" t="str"/>
    </x:row>
    <x:row r="26">
      <x:c r="A26" s="73" t="n">
        <x:v>20</x:v>
      </x:c>
      <x:c r="B26" s="71" t="str">
        <x:v>Terdal</x:v>
      </x:c>
      <x:c r="C26" s="74" t="str">
        <x:v>GEN</x:v>
      </x:c>
      <x:c r="D26" s="71" t="str">
        <x:v>Bagalkot</x:v>
      </x:c>
      <x:c r="E26" s="71" t="str">
        <x:v>Siddu Savadi</x:v>
      </x:c>
      <x:c r="F26" s="74" t="str">
        <x:v>BJP</x:v>
      </x:c>
      <x:c r="G26" s="71" t="str">
        <x:v>Bharatiya Janata Party</x:v>
      </x:c>
      <x:c r="H26" s="76" t="str">
        <x:v>#FF9933</x:v>
      </x:c>
      <x:c r="I26" s="75" t="str"/>
      <x:c r="J26" s="75" t="str">
        <x:v>https://en.wikipedia.org/wiki/Terdal_(Vidhana_Sabha_constituency)</x:v>
      </x:c>
      <x:c r="K26" s="75" t="str">
        <x:v>https://en.wikipedia.org/wiki/Karnataka_Legislative_Assembly</x:v>
      </x:c>
      <x:c r="L26" s="75" t="str"/>
    </x:row>
    <x:row r="27">
      <x:c r="A27" s="73" t="n">
        <x:v>21</x:v>
      </x:c>
      <x:c r="B27" s="71" t="str">
        <x:v>Jamkhandi</x:v>
      </x:c>
      <x:c r="C27" s="74" t="str">
        <x:v>GEN</x:v>
      </x:c>
      <x:c r="D27" s="71" t="str">
        <x:v>Bagalkot</x:v>
      </x:c>
      <x:c r="E27" s="71" t="str">
        <x:v>Jagadish Gudagunti</x:v>
      </x:c>
      <x:c r="F27" s="74" t="str">
        <x:v>BJP</x:v>
      </x:c>
      <x:c r="G27" s="71" t="str">
        <x:v>Bharatiya Janata Party</x:v>
      </x:c>
      <x:c r="H27" s="76" t="str">
        <x:v>#FF9933</x:v>
      </x:c>
      <x:c r="I27" s="75" t="str"/>
      <x:c r="J27" s="75" t="str">
        <x:v>https://en.wikipedia.org/wiki/Jamkhandi_(Vidhana_Sabha_constituency)</x:v>
      </x:c>
      <x:c r="K27" s="75" t="str">
        <x:v>https://en.wikipedia.org/wiki/Karnataka_Legislative_Assembly</x:v>
      </x:c>
      <x:c r="L27" s="75" t="str"/>
    </x:row>
    <x:row r="28">
      <x:c r="A28" s="73" t="n">
        <x:v>22</x:v>
      </x:c>
      <x:c r="B28" s="71" t="str">
        <x:v>Bilgi</x:v>
      </x:c>
      <x:c r="C28" s="74" t="str">
        <x:v>GEN</x:v>
      </x:c>
      <x:c r="D28" s="71" t="str">
        <x:v>Bagalkot</x:v>
      </x:c>
      <x:c r="E28" s="71" t="str">
        <x:v>J. T. Patil</x:v>
      </x:c>
      <x:c r="F28" s="74" t="str">
        <x:v>INC</x:v>
      </x:c>
      <x:c r="G28" s="71" t="str">
        <x:v>Indian National Congress</x:v>
      </x:c>
      <x:c r="H28" s="77" t="str">
        <x:v>#00BFFF</x:v>
      </x:c>
      <x:c r="I28" s="75" t="str"/>
      <x:c r="J28" s="75" t="str">
        <x:v>https://en.wikipedia.org/wiki/Bilgi_(Vidhana_Sabha_constituency)</x:v>
      </x:c>
      <x:c r="K28" s="75" t="str">
        <x:v>https://en.wikipedia.org/wiki/Karnataka_Legislative_Assembly</x:v>
      </x:c>
      <x:c r="L28" s="75" t="str"/>
    </x:row>
    <x:row r="29">
      <x:c r="A29" s="73" t="n">
        <x:v>23</x:v>
      </x:c>
      <x:c r="B29" s="71" t="str">
        <x:v>Badami</x:v>
      </x:c>
      <x:c r="C29" s="74" t="str">
        <x:v>GEN</x:v>
      </x:c>
      <x:c r="D29" s="71" t="str">
        <x:v>Bagalkot</x:v>
      </x:c>
      <x:c r="E29" s="71" t="str">
        <x:v>Bhimsen Chimmanakatti</x:v>
      </x:c>
      <x:c r="F29" s="74" t="str">
        <x:v>INC</x:v>
      </x:c>
      <x:c r="G29" s="71" t="str">
        <x:v>Indian National Congress</x:v>
      </x:c>
      <x:c r="H29" s="77" t="str">
        <x:v>#00BFFF</x:v>
      </x:c>
      <x:c r="I29" s="75" t="str"/>
      <x:c r="J29" s="75" t="str">
        <x:v>https://en.wikipedia.org/wiki/Badami_(Vidhana_Sabha_constituency)</x:v>
      </x:c>
      <x:c r="K29" s="75" t="str">
        <x:v>https://en.wikipedia.org/wiki/Karnataka_Legislative_Assembly</x:v>
      </x:c>
      <x:c r="L29" s="75" t="str"/>
    </x:row>
    <x:row r="30">
      <x:c r="A30" s="73" t="n">
        <x:v>24</x:v>
      </x:c>
      <x:c r="B30" s="71" t="str">
        <x:v>Bagalkot</x:v>
      </x:c>
      <x:c r="C30" s="74" t="str">
        <x:v>GEN</x:v>
      </x:c>
      <x:c r="D30" s="71" t="str">
        <x:v>Bagalkot</x:v>
      </x:c>
      <x:c r="E30" s="71" t="str">
        <x:v>U.H. Meti</x:v>
      </x:c>
      <x:c r="F30" s="74" t="str">
        <x:v>INC</x:v>
      </x:c>
      <x:c r="G30" s="71" t="str">
        <x:v>Indian National Congress</x:v>
      </x:c>
      <x:c r="H30" s="77" t="str">
        <x:v>#00BFFF</x:v>
      </x:c>
      <x:c r="I30" s="75" t="str">
        <x:v>Elected in bypoll</x:v>
      </x:c>
      <x:c r="J30" s="75" t="str">
        <x:v>https://en.wikipedia.org/wiki/Bagalkot_(Vidhana_Sabha_constituency)</x:v>
      </x:c>
      <x:c r="K30" s="75" t="str">
        <x:v>https://en.wikipedia.org/wiki/Karnataka_Legislative_Assembly</x:v>
      </x:c>
      <x:c r="L30" s="75" t="str">
        <x:v>H. Y. Meti (INC) — Died on 4 November 2025</x:v>
      </x:c>
    </x:row>
    <x:row r="31">
      <x:c r="A31" s="73" t="n">
        <x:v>25</x:v>
      </x:c>
      <x:c r="B31" s="71" t="str">
        <x:v>Hungund</x:v>
      </x:c>
      <x:c r="C31" s="74" t="str">
        <x:v>GEN</x:v>
      </x:c>
      <x:c r="D31" s="71" t="str">
        <x:v>Bagalkot</x:v>
      </x:c>
      <x:c r="E31" s="71" t="str">
        <x:v>Vijayanand Kashappanavar</x:v>
      </x:c>
      <x:c r="F31" s="74" t="str">
        <x:v>INC</x:v>
      </x:c>
      <x:c r="G31" s="71" t="str">
        <x:v>Indian National Congress</x:v>
      </x:c>
      <x:c r="H31" s="77" t="str">
        <x:v>#00BFFF</x:v>
      </x:c>
      <x:c r="I31" s="75" t="str"/>
      <x:c r="J31" s="75" t="str">
        <x:v>https://en.wikipedia.org/wiki/Hungund_(Vidhana_Sabha_constituency)</x:v>
      </x:c>
      <x:c r="K31" s="75" t="str">
        <x:v>https://en.wikipedia.org/wiki/Karnataka_Legislative_Assembly</x:v>
      </x:c>
      <x:c r="L31" s="75" t="str"/>
    </x:row>
    <x:row r="32">
      <x:c r="A32" s="73" t="n">
        <x:v>26</x:v>
      </x:c>
      <x:c r="B32" s="71" t="str">
        <x:v>Muddebihal</x:v>
      </x:c>
      <x:c r="C32" s="74" t="str">
        <x:v>GEN</x:v>
      </x:c>
      <x:c r="D32" s="71" t="str">
        <x:v>Vijayapura</x:v>
      </x:c>
      <x:c r="E32" s="71" t="str">
        <x:v>C. S. Nadagouda</x:v>
      </x:c>
      <x:c r="F32" s="74" t="str">
        <x:v>INC</x:v>
      </x:c>
      <x:c r="G32" s="71" t="str">
        <x:v>Indian National Congress</x:v>
      </x:c>
      <x:c r="H32" s="77" t="str">
        <x:v>#00BFFF</x:v>
      </x:c>
      <x:c r="I32" s="75" t="str"/>
      <x:c r="J32" s="75" t="str">
        <x:v>https://en.wikipedia.org/wiki/Muddebihal_(Vidhana_Sabha_constituency)</x:v>
      </x:c>
      <x:c r="K32" s="75" t="str">
        <x:v>https://en.wikipedia.org/wiki/Karnataka_Legislative_Assembly</x:v>
      </x:c>
      <x:c r="L32" s="75" t="str"/>
    </x:row>
    <x:row r="33">
      <x:c r="A33" s="73" t="n">
        <x:v>27</x:v>
      </x:c>
      <x:c r="B33" s="71" t="str">
        <x:v>Devar Hippargi</x:v>
      </x:c>
      <x:c r="C33" s="74" t="str">
        <x:v>GEN</x:v>
      </x:c>
      <x:c r="D33" s="71" t="str">
        <x:v>Vijayapura</x:v>
      </x:c>
      <x:c r="E33" s="71" t="str">
        <x:v>Rajugouda Patil</x:v>
      </x:c>
      <x:c r="F33" s="74" t="str">
        <x:v>JDS</x:v>
      </x:c>
      <x:c r="G33" s="71" t="str">
        <x:v>Janata Dal (Secular)</x:v>
      </x:c>
      <x:c r="H33" s="78" t="str">
        <x:v>#02865A</x:v>
      </x:c>
      <x:c r="I33" s="75" t="str"/>
      <x:c r="J33" s="75" t="str">
        <x:v>https://en.wikipedia.org/wiki/Devar_Hippargi_(Vidhana_Sabha_constituency)</x:v>
      </x:c>
      <x:c r="K33" s="75" t="str">
        <x:v>https://en.wikipedia.org/wiki/Karnataka_Legislative_Assembly</x:v>
      </x:c>
      <x:c r="L33" s="75" t="str"/>
    </x:row>
    <x:row r="34">
      <x:c r="A34" s="73" t="n">
        <x:v>28</x:v>
      </x:c>
      <x:c r="B34" s="71" t="str">
        <x:v>Basavana Bagevadi</x:v>
      </x:c>
      <x:c r="C34" s="74" t="str">
        <x:v>GEN</x:v>
      </x:c>
      <x:c r="D34" s="71" t="str">
        <x:v>Vijayapura</x:v>
      </x:c>
      <x:c r="E34" s="71" t="str">
        <x:v>Shivanand Patil</x:v>
      </x:c>
      <x:c r="F34" s="74" t="str">
        <x:v>INC</x:v>
      </x:c>
      <x:c r="G34" s="71" t="str">
        <x:v>Indian National Congress</x:v>
      </x:c>
      <x:c r="H34" s="77" t="str">
        <x:v>#00BFFF</x:v>
      </x:c>
      <x:c r="I34" s="75" t="str"/>
      <x:c r="J34" s="75" t="str">
        <x:v>https://en.wikipedia.org/wiki/Basavana_Bagevadi_(Vidhana_Sabha_constituency)</x:v>
      </x:c>
      <x:c r="K34" s="75" t="str">
        <x:v>https://en.wikipedia.org/wiki/Karnataka_Legislative_Assembly</x:v>
      </x:c>
      <x:c r="L34" s="75" t="str"/>
    </x:row>
    <x:row r="35">
      <x:c r="A35" s="73" t="n">
        <x:v>29</x:v>
      </x:c>
      <x:c r="B35" s="71" t="str">
        <x:v>Babaleshwar</x:v>
      </x:c>
      <x:c r="C35" s="74" t="str">
        <x:v>GEN</x:v>
      </x:c>
      <x:c r="D35" s="71" t="str">
        <x:v>Vijayapura</x:v>
      </x:c>
      <x:c r="E35" s="71" t="str">
        <x:v>M. B. Patil</x:v>
      </x:c>
      <x:c r="F35" s="74" t="str">
        <x:v>INC</x:v>
      </x:c>
      <x:c r="G35" s="71" t="str">
        <x:v>Indian National Congress</x:v>
      </x:c>
      <x:c r="H35" s="77" t="str">
        <x:v>#00BFFF</x:v>
      </x:c>
      <x:c r="I35" s="75" t="str">
        <x:v>Cabinet Minister (Shivakumar ministry)</x:v>
      </x:c>
      <x:c r="J35" s="75" t="str">
        <x:v>https://en.wikipedia.org/wiki/Babaleshwar_(Vidhana_Sabha_constituency)</x:v>
      </x:c>
      <x:c r="K35" s="75" t="str">
        <x:v>https://en.wikipedia.org/wiki/Karnataka_Legislative_Assembly</x:v>
      </x:c>
      <x:c r="L35" s="75" t="str"/>
    </x:row>
    <x:row r="36">
      <x:c r="A36" s="73" t="n">
        <x:v>30</x:v>
      </x:c>
      <x:c r="B36" s="71" t="str">
        <x:v>Bijapur City</x:v>
      </x:c>
      <x:c r="C36" s="74" t="str">
        <x:v>GEN</x:v>
      </x:c>
      <x:c r="D36" s="71" t="str">
        <x:v>Vijayapura</x:v>
      </x:c>
      <x:c r="E36" s="71" t="str">
        <x:v>Basangouda Patil Yatnal</x:v>
      </x:c>
      <x:c r="F36" s="74" t="str">
        <x:v>IND</x:v>
      </x:c>
      <x:c r="G36" s="71" t="str">
        <x:v>Independent</x:v>
      </x:c>
      <x:c r="H36" s="79" t="str">
        <x:v>#DCDCDC</x:v>
      </x:c>
      <x:c r="I36" s="75" t="str">
        <x:v>Expelled from BJP on 26 March 2025</x:v>
      </x:c>
      <x:c r="J36" s="75" t="str">
        <x:v>https://en.wikipedia.org/wiki/Bijapur_City_(Vidhana_Sabha_constituency)</x:v>
      </x:c>
      <x:c r="K36" s="75" t="str">
        <x:v>https://en.wikipedia.org/wiki/Karnataka_Legislative_Assembly</x:v>
      </x:c>
      <x:c r="L36" s="75" t="str"/>
    </x:row>
    <x:row r="37">
      <x:c r="A37" s="73" t="n">
        <x:v>31</x:v>
      </x:c>
      <x:c r="B37" s="71" t="str">
        <x:v>Nagathan</x:v>
      </x:c>
      <x:c r="C37" s="74" t="str">
        <x:v>SC</x:v>
      </x:c>
      <x:c r="D37" s="71" t="str">
        <x:v>Vijayapura</x:v>
      </x:c>
      <x:c r="E37" s="71" t="str">
        <x:v>Katakadond Vittal Dondiba</x:v>
      </x:c>
      <x:c r="F37" s="74" t="str">
        <x:v>INC</x:v>
      </x:c>
      <x:c r="G37" s="71" t="str">
        <x:v>Indian National Congress</x:v>
      </x:c>
      <x:c r="H37" s="77" t="str">
        <x:v>#00BFFF</x:v>
      </x:c>
      <x:c r="I37" s="75" t="str"/>
      <x:c r="J37" s="75" t="str">
        <x:v>https://en.wikipedia.org/wiki/Nagthan_(Vidhana_Sabha_constituency)</x:v>
      </x:c>
      <x:c r="K37" s="75" t="str">
        <x:v>https://en.wikipedia.org/wiki/Karnataka_Legislative_Assembly</x:v>
      </x:c>
      <x:c r="L37" s="75" t="str"/>
    </x:row>
    <x:row r="38">
      <x:c r="A38" s="73" t="n">
        <x:v>32</x:v>
      </x:c>
      <x:c r="B38" s="71" t="str">
        <x:v>Indi</x:v>
      </x:c>
      <x:c r="C38" s="74" t="str">
        <x:v>GEN</x:v>
      </x:c>
      <x:c r="D38" s="71" t="str">
        <x:v>Vijayapura</x:v>
      </x:c>
      <x:c r="E38" s="71" t="str">
        <x:v>Yashavant Rayagoud Patil</x:v>
      </x:c>
      <x:c r="F38" s="74" t="str">
        <x:v>INC</x:v>
      </x:c>
      <x:c r="G38" s="71" t="str">
        <x:v>Indian National Congress</x:v>
      </x:c>
      <x:c r="H38" s="77" t="str">
        <x:v>#00BFFF</x:v>
      </x:c>
      <x:c r="I38" s="75" t="str"/>
      <x:c r="J38" s="75" t="str">
        <x:v>https://en.wikipedia.org/wiki/Indi_(Vidhana_Sabha_constituency)</x:v>
      </x:c>
      <x:c r="K38" s="75" t="str">
        <x:v>https://en.wikipedia.org/wiki/Karnataka_Legislative_Assembly</x:v>
      </x:c>
      <x:c r="L38" s="75" t="str"/>
    </x:row>
    <x:row r="39">
      <x:c r="A39" s="73" t="n">
        <x:v>33</x:v>
      </x:c>
      <x:c r="B39" s="71" t="str">
        <x:v>Sindagi</x:v>
      </x:c>
      <x:c r="C39" s="74" t="str">
        <x:v>GEN</x:v>
      </x:c>
      <x:c r="D39" s="71" t="str">
        <x:v>Vijayapura</x:v>
      </x:c>
      <x:c r="E39" s="71" t="str">
        <x:v>Ashok M. Managuli</x:v>
      </x:c>
      <x:c r="F39" s="74" t="str">
        <x:v>INC</x:v>
      </x:c>
      <x:c r="G39" s="71" t="str">
        <x:v>Indian National Congress</x:v>
      </x:c>
      <x:c r="H39" s="77" t="str">
        <x:v>#00BFFF</x:v>
      </x:c>
      <x:c r="I39" s="75" t="str"/>
      <x:c r="J39" s="75" t="str">
        <x:v>https://en.wikipedia.org/wiki/Sindagi_(Vidhana_Sabha_constituency)</x:v>
      </x:c>
      <x:c r="K39" s="75" t="str">
        <x:v>https://en.wikipedia.org/wiki/Karnataka_Legislative_Assembly</x:v>
      </x:c>
      <x:c r="L39" s="75" t="str"/>
    </x:row>
    <x:row r="40">
      <x:c r="A40" s="73" t="n">
        <x:v>34</x:v>
      </x:c>
      <x:c r="B40" s="71" t="str">
        <x:v>Afzalpur</x:v>
      </x:c>
      <x:c r="C40" s="74" t="str">
        <x:v>GEN</x:v>
      </x:c>
      <x:c r="D40" s="71" t="str">
        <x:v>Kalaburagi</x:v>
      </x:c>
      <x:c r="E40" s="71" t="str">
        <x:v>M. Y. Patil</x:v>
      </x:c>
      <x:c r="F40" s="74" t="str">
        <x:v>INC</x:v>
      </x:c>
      <x:c r="G40" s="71" t="str">
        <x:v>Indian National Congress</x:v>
      </x:c>
      <x:c r="H40" s="77" t="str">
        <x:v>#00BFFF</x:v>
      </x:c>
      <x:c r="I40" s="75" t="str"/>
      <x:c r="J40" s="75" t="str">
        <x:v>https://en.wikipedia.org/wiki/Afzalpur_(Vidhana_Sabha_constituency)</x:v>
      </x:c>
      <x:c r="K40" s="75" t="str">
        <x:v>https://en.wikipedia.org/wiki/Karnataka_Legislative_Assembly</x:v>
      </x:c>
      <x:c r="L40" s="75" t="str"/>
    </x:row>
    <x:row r="41">
      <x:c r="A41" s="73" t="n">
        <x:v>35</x:v>
      </x:c>
      <x:c r="B41" s="71" t="str">
        <x:v>Jevargi</x:v>
      </x:c>
      <x:c r="C41" s="74" t="str">
        <x:v>GEN</x:v>
      </x:c>
      <x:c r="D41" s="71" t="str">
        <x:v>Kalaburagi</x:v>
      </x:c>
      <x:c r="E41" s="71" t="str">
        <x:v>Ajay Singh</x:v>
      </x:c>
      <x:c r="F41" s="74" t="str">
        <x:v>INC</x:v>
      </x:c>
      <x:c r="G41" s="71" t="str">
        <x:v>Indian National Congress</x:v>
      </x:c>
      <x:c r="H41" s="77" t="str">
        <x:v>#00BFFF</x:v>
      </x:c>
      <x:c r="I41" s="75" t="str"/>
      <x:c r="J41" s="75" t="str">
        <x:v>https://en.wikipedia.org/wiki/Jevargi_(Vidhana_Sabha_constituency)</x:v>
      </x:c>
      <x:c r="K41" s="75" t="str">
        <x:v>https://en.wikipedia.org/wiki/Karnataka_Legislative_Assembly</x:v>
      </x:c>
      <x:c r="L41" s="75" t="str"/>
    </x:row>
    <x:row r="42">
      <x:c r="A42" s="73" t="n">
        <x:v>36</x:v>
      </x:c>
      <x:c r="B42" s="71" t="str">
        <x:v>Shorapur</x:v>
      </x:c>
      <x:c r="C42" s="74" t="str">
        <x:v>ST</x:v>
      </x:c>
      <x:c r="D42" s="71" t="str">
        <x:v>Yadgir</x:v>
      </x:c>
      <x:c r="E42" s="71" t="str">
        <x:v>Raja Venugopal Naik</x:v>
      </x:c>
      <x:c r="F42" s="74" t="str">
        <x:v>INC</x:v>
      </x:c>
      <x:c r="G42" s="71" t="str">
        <x:v>Indian National Congress</x:v>
      </x:c>
      <x:c r="H42" s="77" t="str">
        <x:v>#00BFFF</x:v>
      </x:c>
      <x:c r="I42" s="75" t="str">
        <x:v>Elected on 4 June 2024</x:v>
      </x:c>
      <x:c r="J42" s="75" t="str">
        <x:v>https://en.wikipedia.org/wiki/Shorapur_(Vidhana_Sabha_constituency)</x:v>
      </x:c>
      <x:c r="K42" s="75" t="str">
        <x:v>https://en.wikipedia.org/wiki/Karnataka_Legislative_Assembly</x:v>
      </x:c>
      <x:c r="L42" s="75" t="str">
        <x:v>Raja Venkatappa Naik (INC) — Died on 25 February 2024</x:v>
      </x:c>
    </x:row>
    <x:row r="43">
      <x:c r="A43" s="73" t="n">
        <x:v>37</x:v>
      </x:c>
      <x:c r="B43" s="71" t="str">
        <x:v>Shahapur</x:v>
      </x:c>
      <x:c r="C43" s="74" t="str">
        <x:v>GEN</x:v>
      </x:c>
      <x:c r="D43" s="71" t="str">
        <x:v>Yadgir</x:v>
      </x:c>
      <x:c r="E43" s="71" t="str">
        <x:v>Sharanabasappa Darshanapur</x:v>
      </x:c>
      <x:c r="F43" s="74" t="str">
        <x:v>INC</x:v>
      </x:c>
      <x:c r="G43" s="71" t="str">
        <x:v>Indian National Congress</x:v>
      </x:c>
      <x:c r="H43" s="77" t="str">
        <x:v>#00BFFF</x:v>
      </x:c>
      <x:c r="I43" s="75" t="str"/>
      <x:c r="J43" s="75" t="str">
        <x:v>https://en.wikipedia.org/wiki/Shahapur,_Karnataka_Assembly_constituency</x:v>
      </x:c>
      <x:c r="K43" s="75" t="str">
        <x:v>https://en.wikipedia.org/wiki/Karnataka_Legislative_Assembly</x:v>
      </x:c>
      <x:c r="L43" s="75" t="str"/>
    </x:row>
    <x:row r="44">
      <x:c r="A44" s="73" t="n">
        <x:v>38</x:v>
      </x:c>
      <x:c r="B44" s="71" t="str">
        <x:v>Yadgir</x:v>
      </x:c>
      <x:c r="C44" s="74" t="str">
        <x:v>GEN</x:v>
      </x:c>
      <x:c r="D44" s="71" t="str">
        <x:v>Yadgir</x:v>
      </x:c>
      <x:c r="E44" s="71" t="str">
        <x:v>Channareddy Patil Tunnur</x:v>
      </x:c>
      <x:c r="F44" s="74" t="str">
        <x:v>INC</x:v>
      </x:c>
      <x:c r="G44" s="71" t="str">
        <x:v>Indian National Congress</x:v>
      </x:c>
      <x:c r="H44" s="77" t="str">
        <x:v>#00BFFF</x:v>
      </x:c>
      <x:c r="I44" s="75" t="str"/>
      <x:c r="J44" s="75" t="str">
        <x:v>https://en.wikipedia.org/wiki/Yadgir_(Vidhana_Sabha_constituency)</x:v>
      </x:c>
      <x:c r="K44" s="75" t="str">
        <x:v>https://en.wikipedia.org/wiki/Karnataka_Legislative_Assembly</x:v>
      </x:c>
      <x:c r="L44" s="75" t="str"/>
    </x:row>
    <x:row r="45">
      <x:c r="A45" s="73" t="n">
        <x:v>39</x:v>
      </x:c>
      <x:c r="B45" s="71" t="str">
        <x:v>Gurmitkal</x:v>
      </x:c>
      <x:c r="C45" s="74" t="str">
        <x:v>GEN</x:v>
      </x:c>
      <x:c r="D45" s="71" t="str">
        <x:v>Yadgir</x:v>
      </x:c>
      <x:c r="E45" s="71" t="str">
        <x:v>Sharanagouda Kandakur</x:v>
      </x:c>
      <x:c r="F45" s="74" t="str">
        <x:v>JDS</x:v>
      </x:c>
      <x:c r="G45" s="71" t="str">
        <x:v>Janata Dal (Secular)</x:v>
      </x:c>
      <x:c r="H45" s="78" t="str">
        <x:v>#02865A</x:v>
      </x:c>
      <x:c r="I45" s="75" t="str"/>
      <x:c r="J45" s="75" t="str">
        <x:v>https://en.wikipedia.org/wiki/Gurmitkal_(Vidhana_Sabha_constituency)</x:v>
      </x:c>
      <x:c r="K45" s="75" t="str">
        <x:v>https://en.wikipedia.org/wiki/Karnataka_Legislative_Assembly</x:v>
      </x:c>
      <x:c r="L45" s="75" t="str"/>
    </x:row>
    <x:row r="46">
      <x:c r="A46" s="73" t="n">
        <x:v>40</x:v>
      </x:c>
      <x:c r="B46" s="71" t="str">
        <x:v>Chittapur</x:v>
      </x:c>
      <x:c r="C46" s="74" t="str">
        <x:v>SC</x:v>
      </x:c>
      <x:c r="D46" s="71" t="str">
        <x:v>Kalaburagi</x:v>
      </x:c>
      <x:c r="E46" s="71" t="str">
        <x:v>Priyank Kharge</x:v>
      </x:c>
      <x:c r="F46" s="74" t="str">
        <x:v>INC</x:v>
      </x:c>
      <x:c r="G46" s="71" t="str">
        <x:v>Indian National Congress</x:v>
      </x:c>
      <x:c r="H46" s="77" t="str">
        <x:v>#00BFFF</x:v>
      </x:c>
      <x:c r="I46" s="75" t="str">
        <x:v>Cabinet Minister (Shivakumar ministry)</x:v>
      </x:c>
      <x:c r="J46" s="75" t="str">
        <x:v>https://en.wikipedia.org/wiki/Chittapur_(Vidhana_Sabha_constituency)</x:v>
      </x:c>
      <x:c r="K46" s="75" t="str">
        <x:v>https://en.wikipedia.org/wiki/Karnataka_Legislative_Assembly</x:v>
      </x:c>
      <x:c r="L46" s="75" t="str"/>
    </x:row>
    <x:row r="47">
      <x:c r="A47" s="73" t="n">
        <x:v>41</x:v>
      </x:c>
      <x:c r="B47" s="71" t="str">
        <x:v>Sedam</x:v>
      </x:c>
      <x:c r="C47" s="74" t="str">
        <x:v>GEN</x:v>
      </x:c>
      <x:c r="D47" s="71" t="str">
        <x:v>Kalaburagi</x:v>
      </x:c>
      <x:c r="E47" s="71" t="str">
        <x:v>Sharan Prakash Patil</x:v>
      </x:c>
      <x:c r="F47" s="74" t="str">
        <x:v>INC</x:v>
      </x:c>
      <x:c r="G47" s="71" t="str">
        <x:v>Indian National Congress</x:v>
      </x:c>
      <x:c r="H47" s="77" t="str">
        <x:v>#00BFFF</x:v>
      </x:c>
      <x:c r="I47" s="75" t="str">
        <x:v>Cabinet Minister (Shivakumar ministry)</x:v>
      </x:c>
      <x:c r="J47" s="75" t="str">
        <x:v>https://en.wikipedia.org/wiki/Sedam_(Vidhana_Sabha_constituency)</x:v>
      </x:c>
      <x:c r="K47" s="75" t="str">
        <x:v>https://en.wikipedia.org/wiki/Karnataka_Legislative_Assembly</x:v>
      </x:c>
      <x:c r="L47" s="75" t="str"/>
    </x:row>
    <x:row r="48">
      <x:c r="A48" s="73" t="n">
        <x:v>42</x:v>
      </x:c>
      <x:c r="B48" s="71" t="str">
        <x:v>Chincholi</x:v>
      </x:c>
      <x:c r="C48" s="74" t="str">
        <x:v>SC</x:v>
      </x:c>
      <x:c r="D48" s="71" t="str">
        <x:v>Kalaburagi</x:v>
      </x:c>
      <x:c r="E48" s="71" t="str">
        <x:v>Avinash Jadhav</x:v>
      </x:c>
      <x:c r="F48" s="74" t="str">
        <x:v>BJP</x:v>
      </x:c>
      <x:c r="G48" s="71" t="str">
        <x:v>Bharatiya Janata Party</x:v>
      </x:c>
      <x:c r="H48" s="76" t="str">
        <x:v>#FF9933</x:v>
      </x:c>
      <x:c r="I48" s="75" t="str"/>
      <x:c r="J48" s="75" t="str">
        <x:v>https://en.wikipedia.org/wiki/Chincholi_(Vidhana_Sabha_constituency)</x:v>
      </x:c>
      <x:c r="K48" s="75" t="str">
        <x:v>https://en.wikipedia.org/wiki/Karnataka_Legislative_Assembly</x:v>
      </x:c>
      <x:c r="L48" s="75" t="str"/>
    </x:row>
    <x:row r="49">
      <x:c r="A49" s="73" t="n">
        <x:v>43</x:v>
      </x:c>
      <x:c r="B49" s="71" t="str">
        <x:v>Gulbarga Rural</x:v>
      </x:c>
      <x:c r="C49" s="74" t="str">
        <x:v>SC</x:v>
      </x:c>
      <x:c r="D49" s="71" t="str">
        <x:v>Kalaburagi</x:v>
      </x:c>
      <x:c r="E49" s="71" t="str">
        <x:v>Basawaraj Mattimud</x:v>
      </x:c>
      <x:c r="F49" s="74" t="str">
        <x:v>BJP</x:v>
      </x:c>
      <x:c r="G49" s="71" t="str">
        <x:v>Bharatiya Janata Party</x:v>
      </x:c>
      <x:c r="H49" s="76" t="str">
        <x:v>#FF9933</x:v>
      </x:c>
      <x:c r="I49" s="75" t="str"/>
      <x:c r="J49" s="75" t="str">
        <x:v>https://en.wikipedia.org/wiki/Gulbarga_Rural_(Vidhana_Sabha_constituency)</x:v>
      </x:c>
      <x:c r="K49" s="75" t="str">
        <x:v>https://en.wikipedia.org/wiki/Karnataka_Legislative_Assembly</x:v>
      </x:c>
      <x:c r="L49" s="75" t="str"/>
    </x:row>
    <x:row r="50">
      <x:c r="A50" s="73" t="n">
        <x:v>44</x:v>
      </x:c>
      <x:c r="B50" s="71" t="str">
        <x:v>Gulbarga Dakshin</x:v>
      </x:c>
      <x:c r="C50" s="74" t="str">
        <x:v>GEN</x:v>
      </x:c>
      <x:c r="D50" s="71" t="str">
        <x:v>Kalaburagi</x:v>
      </x:c>
      <x:c r="E50" s="71" t="str">
        <x:v>Allamprabhu Patil</x:v>
      </x:c>
      <x:c r="F50" s="74" t="str">
        <x:v>INC</x:v>
      </x:c>
      <x:c r="G50" s="71" t="str">
        <x:v>Indian National Congress</x:v>
      </x:c>
      <x:c r="H50" s="77" t="str">
        <x:v>#00BFFF</x:v>
      </x:c>
      <x:c r="I50" s="75" t="str"/>
      <x:c r="J50" s="75" t="str">
        <x:v>https://en.wikipedia.org/wiki/Gulbarga_Dakshin_(Vidhana_Sabha_constituency)</x:v>
      </x:c>
      <x:c r="K50" s="75" t="str">
        <x:v>https://en.wikipedia.org/wiki/Karnataka_Legislative_Assembly</x:v>
      </x:c>
      <x:c r="L50" s="75" t="str"/>
    </x:row>
    <x:row r="51">
      <x:c r="A51" s="73" t="n">
        <x:v>45</x:v>
      </x:c>
      <x:c r="B51" s="71" t="str">
        <x:v>Gulbarga Uttar</x:v>
      </x:c>
      <x:c r="C51" s="74" t="str">
        <x:v>GEN</x:v>
      </x:c>
      <x:c r="D51" s="71" t="str">
        <x:v>Kalaburagi</x:v>
      </x:c>
      <x:c r="E51" s="71" t="str">
        <x:v>Kaneez Fathima</x:v>
      </x:c>
      <x:c r="F51" s="74" t="str">
        <x:v>INC</x:v>
      </x:c>
      <x:c r="G51" s="71" t="str">
        <x:v>Indian National Congress</x:v>
      </x:c>
      <x:c r="H51" s="77" t="str">
        <x:v>#00BFFF</x:v>
      </x:c>
      <x:c r="I51" s="75" t="str"/>
      <x:c r="J51" s="75" t="str">
        <x:v>https://en.wikipedia.org/wiki/Gulbarga_Uttar_(Vidhana_Sabha_constituency)</x:v>
      </x:c>
      <x:c r="K51" s="75" t="str">
        <x:v>https://en.wikipedia.org/wiki/Karnataka_Legislative_Assembly</x:v>
      </x:c>
      <x:c r="L51" s="75" t="str"/>
    </x:row>
    <x:row r="52">
      <x:c r="A52" s="73" t="n">
        <x:v>46</x:v>
      </x:c>
      <x:c r="B52" s="71" t="str">
        <x:v>Aland</x:v>
      </x:c>
      <x:c r="C52" s="74" t="str">
        <x:v>GEN</x:v>
      </x:c>
      <x:c r="D52" s="71" t="str">
        <x:v>Kalaburagi</x:v>
      </x:c>
      <x:c r="E52" s="71" t="str">
        <x:v>B. R. Patil</x:v>
      </x:c>
      <x:c r="F52" s="74" t="str">
        <x:v>INC</x:v>
      </x:c>
      <x:c r="G52" s="71" t="str">
        <x:v>Indian National Congress</x:v>
      </x:c>
      <x:c r="H52" s="77" t="str">
        <x:v>#00BFFF</x:v>
      </x:c>
      <x:c r="I52" s="75" t="str"/>
      <x:c r="J52" s="75" t="str">
        <x:v>https://en.wikipedia.org/wiki/Aland_(Vidhana_Sabha_constituency)</x:v>
      </x:c>
      <x:c r="K52" s="75" t="str">
        <x:v>https://en.wikipedia.org/wiki/Karnataka_Legislative_Assembly</x:v>
      </x:c>
      <x:c r="L52" s="75" t="str"/>
    </x:row>
    <x:row r="53">
      <x:c r="A53" s="73" t="n">
        <x:v>47</x:v>
      </x:c>
      <x:c r="B53" s="71" t="str">
        <x:v>Basavakalyan</x:v>
      </x:c>
      <x:c r="C53" s="74" t="str">
        <x:v>GEN</x:v>
      </x:c>
      <x:c r="D53" s="71" t="str">
        <x:v>Bidar</x:v>
      </x:c>
      <x:c r="E53" s="71" t="str">
        <x:v>Sharanu Salagar</x:v>
      </x:c>
      <x:c r="F53" s="74" t="str">
        <x:v>BJP</x:v>
      </x:c>
      <x:c r="G53" s="71" t="str">
        <x:v>Bharatiya Janata Party</x:v>
      </x:c>
      <x:c r="H53" s="76" t="str">
        <x:v>#FF9933</x:v>
      </x:c>
      <x:c r="I53" s="75" t="str"/>
      <x:c r="J53" s="75" t="str">
        <x:v>https://en.wikipedia.org/wiki/Basavakalyan_(Vidhana_Sabha_constituency)</x:v>
      </x:c>
      <x:c r="K53" s="75" t="str">
        <x:v>https://en.wikipedia.org/wiki/Karnataka_Legislative_Assembly</x:v>
      </x:c>
      <x:c r="L53" s="75" t="str"/>
    </x:row>
    <x:row r="54">
      <x:c r="A54" s="73" t="n">
        <x:v>48</x:v>
      </x:c>
      <x:c r="B54" s="71" t="str">
        <x:v>Humnabad</x:v>
      </x:c>
      <x:c r="C54" s="74" t="str">
        <x:v>GEN</x:v>
      </x:c>
      <x:c r="D54" s="71" t="str">
        <x:v>Bidar</x:v>
      </x:c>
      <x:c r="E54" s="71" t="str">
        <x:v>Siddu Patil</x:v>
      </x:c>
      <x:c r="F54" s="74" t="str">
        <x:v>BJP</x:v>
      </x:c>
      <x:c r="G54" s="71" t="str">
        <x:v>Bharatiya Janata Party</x:v>
      </x:c>
      <x:c r="H54" s="76" t="str">
        <x:v>#FF9933</x:v>
      </x:c>
      <x:c r="I54" s="75" t="str"/>
      <x:c r="J54" s="75" t="str">
        <x:v>https://en.wikipedia.org/wiki/Humnabad_(Vidhana_Sabha_constituency)</x:v>
      </x:c>
      <x:c r="K54" s="75" t="str">
        <x:v>https://en.wikipedia.org/wiki/Karnataka_Legislative_Assembly</x:v>
      </x:c>
      <x:c r="L54" s="75" t="str"/>
    </x:row>
    <x:row r="55">
      <x:c r="A55" s="73" t="n">
        <x:v>49</x:v>
      </x:c>
      <x:c r="B55" s="71" t="str">
        <x:v>Bidar South</x:v>
      </x:c>
      <x:c r="C55" s="74" t="str">
        <x:v>GEN</x:v>
      </x:c>
      <x:c r="D55" s="71" t="str">
        <x:v>Bidar</x:v>
      </x:c>
      <x:c r="E55" s="71" t="str">
        <x:v>Shailendra Bedale</x:v>
      </x:c>
      <x:c r="F55" s="74" t="str">
        <x:v>BJP</x:v>
      </x:c>
      <x:c r="G55" s="71" t="str">
        <x:v>Bharatiya Janata Party</x:v>
      </x:c>
      <x:c r="H55" s="76" t="str">
        <x:v>#FF9933</x:v>
      </x:c>
      <x:c r="I55" s="75" t="str"/>
      <x:c r="J55" s="75" t="str">
        <x:v>https://en.wikipedia.org/wiki/Bidar_South_(Vidhana_Sabha_constituency)</x:v>
      </x:c>
      <x:c r="K55" s="75" t="str">
        <x:v>https://en.wikipedia.org/wiki/Karnataka_Legislative_Assembly</x:v>
      </x:c>
      <x:c r="L55" s="75" t="str"/>
    </x:row>
    <x:row r="56">
      <x:c r="A56" s="73" t="n">
        <x:v>50</x:v>
      </x:c>
      <x:c r="B56" s="71" t="str">
        <x:v>Bidar</x:v>
      </x:c>
      <x:c r="C56" s="74" t="str">
        <x:v>GEN</x:v>
      </x:c>
      <x:c r="D56" s="71" t="str">
        <x:v>Bidar</x:v>
      </x:c>
      <x:c r="E56" s="71" t="str">
        <x:v>Rahim Khan</x:v>
      </x:c>
      <x:c r="F56" s="74" t="str">
        <x:v>INC</x:v>
      </x:c>
      <x:c r="G56" s="71" t="str">
        <x:v>Indian National Congress</x:v>
      </x:c>
      <x:c r="H56" s="77" t="str">
        <x:v>#00BFFF</x:v>
      </x:c>
      <x:c r="I56" s="75" t="str"/>
      <x:c r="J56" s="75" t="str">
        <x:v>https://en.wikipedia.org/wiki/Bidar_(Vidhana_Sabha_constituency)</x:v>
      </x:c>
      <x:c r="K56" s="75" t="str">
        <x:v>https://en.wikipedia.org/wiki/Karnataka_Legislative_Assembly</x:v>
      </x:c>
      <x:c r="L56" s="75" t="str"/>
    </x:row>
    <x:row r="57">
      <x:c r="A57" s="73" t="n">
        <x:v>51</x:v>
      </x:c>
      <x:c r="B57" s="71" t="str">
        <x:v>Bhalki</x:v>
      </x:c>
      <x:c r="C57" s="74" t="str">
        <x:v>GEN</x:v>
      </x:c>
      <x:c r="D57" s="71" t="str">
        <x:v>Bidar</x:v>
      </x:c>
      <x:c r="E57" s="71" t="str">
        <x:v>Eshwara Khandre</x:v>
      </x:c>
      <x:c r="F57" s="74" t="str">
        <x:v>INC</x:v>
      </x:c>
      <x:c r="G57" s="71" t="str">
        <x:v>Indian National Congress</x:v>
      </x:c>
      <x:c r="H57" s="77" t="str">
        <x:v>#00BFFF</x:v>
      </x:c>
      <x:c r="I57" s="75" t="str">
        <x:v>Cabinet Minister (Shivakumar ministry)</x:v>
      </x:c>
      <x:c r="J57" s="75" t="str">
        <x:v>https://en.wikipedia.org/wiki/Bhalki_(Vidhana_Sabha_constituency)</x:v>
      </x:c>
      <x:c r="K57" s="75" t="str">
        <x:v>https://en.wikipedia.org/wiki/Karnataka_Legislative_Assembly</x:v>
      </x:c>
      <x:c r="L57" s="75" t="str"/>
    </x:row>
    <x:row r="58">
      <x:c r="A58" s="73" t="n">
        <x:v>52</x:v>
      </x:c>
      <x:c r="B58" s="71" t="str">
        <x:v>Aurad</x:v>
      </x:c>
      <x:c r="C58" s="74" t="str">
        <x:v>SC</x:v>
      </x:c>
      <x:c r="D58" s="71" t="str">
        <x:v>Bidar</x:v>
      </x:c>
      <x:c r="E58" s="71" t="str">
        <x:v>Prabhu Chauhan</x:v>
      </x:c>
      <x:c r="F58" s="74" t="str">
        <x:v>BJP</x:v>
      </x:c>
      <x:c r="G58" s="71" t="str">
        <x:v>Bharatiya Janata Party</x:v>
      </x:c>
      <x:c r="H58" s="76" t="str">
        <x:v>#FF9933</x:v>
      </x:c>
      <x:c r="I58" s="75" t="str"/>
      <x:c r="J58" s="75" t="str">
        <x:v>https://en.wikipedia.org/wiki/Aurad_(Vidhana_Sabha_constituency)</x:v>
      </x:c>
      <x:c r="K58" s="75" t="str">
        <x:v>https://en.wikipedia.org/wiki/Karnataka_Legislative_Assembly</x:v>
      </x:c>
      <x:c r="L58" s="75" t="str"/>
    </x:row>
    <x:row r="59">
      <x:c r="A59" s="73" t="n">
        <x:v>53</x:v>
      </x:c>
      <x:c r="B59" s="71" t="str">
        <x:v>Raichur Rural</x:v>
      </x:c>
      <x:c r="C59" s="74" t="str">
        <x:v>ST</x:v>
      </x:c>
      <x:c r="D59" s="71" t="str">
        <x:v>Raichur</x:v>
      </x:c>
      <x:c r="E59" s="71" t="str">
        <x:v>Basanagouda Daddal</x:v>
      </x:c>
      <x:c r="F59" s="74" t="str">
        <x:v>INC</x:v>
      </x:c>
      <x:c r="G59" s="71" t="str">
        <x:v>Indian National Congress</x:v>
      </x:c>
      <x:c r="H59" s="77" t="str">
        <x:v>#00BFFF</x:v>
      </x:c>
      <x:c r="I59" s="75" t="str"/>
      <x:c r="J59" s="75" t="str">
        <x:v>https://en.wikipedia.org/wiki/Raichur_Rural_(Karnataka_Assembly_constituency)</x:v>
      </x:c>
      <x:c r="K59" s="75" t="str">
        <x:v>https://en.wikipedia.org/wiki/Karnataka_Legislative_Assembly</x:v>
      </x:c>
      <x:c r="L59" s="75" t="str"/>
    </x:row>
    <x:row r="60">
      <x:c r="A60" s="73" t="n">
        <x:v>54</x:v>
      </x:c>
      <x:c r="B60" s="71" t="str">
        <x:v>Raichur</x:v>
      </x:c>
      <x:c r="C60" s="74" t="str">
        <x:v>GEN</x:v>
      </x:c>
      <x:c r="D60" s="71" t="str">
        <x:v>Raichur</x:v>
      </x:c>
      <x:c r="E60" s="71" t="str">
        <x:v>Dr Shivaraj Patil</x:v>
      </x:c>
      <x:c r="F60" s="74" t="str">
        <x:v>BJP</x:v>
      </x:c>
      <x:c r="G60" s="71" t="str">
        <x:v>Bharatiya Janata Party</x:v>
      </x:c>
      <x:c r="H60" s="76" t="str">
        <x:v>#FF9933</x:v>
      </x:c>
      <x:c r="I60" s="75" t="str"/>
      <x:c r="J60" s="75" t="str">
        <x:v>https://en.wikipedia.org/wiki/Raichur_(Karnataka_Assembly_constituency)</x:v>
      </x:c>
      <x:c r="K60" s="75" t="str">
        <x:v>https://en.wikipedia.org/wiki/Karnataka_Legislative_Assembly</x:v>
      </x:c>
      <x:c r="L60" s="75" t="str"/>
    </x:row>
    <x:row r="61">
      <x:c r="A61" s="73" t="n">
        <x:v>55</x:v>
      </x:c>
      <x:c r="B61" s="71" t="str">
        <x:v>Manvi</x:v>
      </x:c>
      <x:c r="C61" s="74" t="str">
        <x:v>ST</x:v>
      </x:c>
      <x:c r="D61" s="71" t="str">
        <x:v>Raichur</x:v>
      </x:c>
      <x:c r="E61" s="71" t="str">
        <x:v>G. Hampayya Nayak</x:v>
      </x:c>
      <x:c r="F61" s="74" t="str">
        <x:v>INC</x:v>
      </x:c>
      <x:c r="G61" s="71" t="str">
        <x:v>Indian National Congress</x:v>
      </x:c>
      <x:c r="H61" s="77" t="str">
        <x:v>#00BFFF</x:v>
      </x:c>
      <x:c r="I61" s="75" t="str"/>
      <x:c r="J61" s="75" t="str">
        <x:v>https://en.wikipedia.org/wiki/Manvi_(Karnataka_Assembly_constituency)</x:v>
      </x:c>
      <x:c r="K61" s="75" t="str">
        <x:v>https://en.wikipedia.org/wiki/Karnataka_Legislative_Assembly</x:v>
      </x:c>
      <x:c r="L61" s="75" t="str"/>
    </x:row>
    <x:row r="62">
      <x:c r="A62" s="73" t="n">
        <x:v>56</x:v>
      </x:c>
      <x:c r="B62" s="71" t="str">
        <x:v>Devadurga</x:v>
      </x:c>
      <x:c r="C62" s="74" t="str">
        <x:v>ST</x:v>
      </x:c>
      <x:c r="D62" s="71" t="str">
        <x:v>Raichur</x:v>
      </x:c>
      <x:c r="E62" s="71" t="str">
        <x:v>Karemma</x:v>
      </x:c>
      <x:c r="F62" s="74" t="str">
        <x:v>JDS</x:v>
      </x:c>
      <x:c r="G62" s="71" t="str">
        <x:v>Janata Dal (Secular)</x:v>
      </x:c>
      <x:c r="H62" s="78" t="str">
        <x:v>#02865A</x:v>
      </x:c>
      <x:c r="I62" s="75" t="str"/>
      <x:c r="J62" s="75" t="str">
        <x:v>https://en.wikipedia.org/wiki/Devadurga_(Karnataka_Assembly_constituency)</x:v>
      </x:c>
      <x:c r="K62" s="75" t="str">
        <x:v>https://en.wikipedia.org/wiki/Karnataka_Legislative_Assembly</x:v>
      </x:c>
      <x:c r="L62" s="75" t="str"/>
    </x:row>
    <x:row r="63">
      <x:c r="A63" s="73" t="n">
        <x:v>57</x:v>
      </x:c>
      <x:c r="B63" s="71" t="str">
        <x:v>Lingsugur</x:v>
      </x:c>
      <x:c r="C63" s="74" t="str">
        <x:v>SC</x:v>
      </x:c>
      <x:c r="D63" s="71" t="str">
        <x:v>Raichur</x:v>
      </x:c>
      <x:c r="E63" s="71" t="str">
        <x:v>Manappa D. Vajjal</x:v>
      </x:c>
      <x:c r="F63" s="74" t="str">
        <x:v>BJP</x:v>
      </x:c>
      <x:c r="G63" s="71" t="str">
        <x:v>Bharatiya Janata Party</x:v>
      </x:c>
      <x:c r="H63" s="76" t="str">
        <x:v>#FF9933</x:v>
      </x:c>
      <x:c r="I63" s="75" t="str"/>
      <x:c r="J63" s="75" t="str">
        <x:v>https://en.wikipedia.org/wiki/Lingsugur_(Karnataka_Assembly_constituency)</x:v>
      </x:c>
      <x:c r="K63" s="75" t="str">
        <x:v>https://en.wikipedia.org/wiki/Karnataka_Legislative_Assembly</x:v>
      </x:c>
      <x:c r="L63" s="75" t="str"/>
    </x:row>
    <x:row r="64">
      <x:c r="A64" s="73" t="n">
        <x:v>58</x:v>
      </x:c>
      <x:c r="B64" s="71" t="str">
        <x:v>Sindhanur</x:v>
      </x:c>
      <x:c r="C64" s="74" t="str">
        <x:v>GEN</x:v>
      </x:c>
      <x:c r="D64" s="71" t="str">
        <x:v>Raichur</x:v>
      </x:c>
      <x:c r="E64" s="71" t="str">
        <x:v>Hampanagouda Badarli</x:v>
      </x:c>
      <x:c r="F64" s="74" t="str">
        <x:v>INC</x:v>
      </x:c>
      <x:c r="G64" s="71" t="str">
        <x:v>Indian National Congress</x:v>
      </x:c>
      <x:c r="H64" s="77" t="str">
        <x:v>#00BFFF</x:v>
      </x:c>
      <x:c r="I64" s="75" t="str"/>
      <x:c r="J64" s="75" t="str">
        <x:v>https://en.wikipedia.org/wiki/Sindhanur_(Karnataka_Assembly_constituency)</x:v>
      </x:c>
      <x:c r="K64" s="75" t="str">
        <x:v>https://en.wikipedia.org/wiki/Karnataka_Legislative_Assembly</x:v>
      </x:c>
      <x:c r="L64" s="75" t="str"/>
    </x:row>
    <x:row r="65">
      <x:c r="A65" s="73" t="n">
        <x:v>59</x:v>
      </x:c>
      <x:c r="B65" s="71" t="str">
        <x:v>Maski</x:v>
      </x:c>
      <x:c r="C65" s="74" t="str">
        <x:v>ST</x:v>
      </x:c>
      <x:c r="D65" s="71" t="str">
        <x:v>Raichur</x:v>
      </x:c>
      <x:c r="E65" s="71" t="str">
        <x:v>Basanagouda Turvihal</x:v>
      </x:c>
      <x:c r="F65" s="74" t="str">
        <x:v>INC</x:v>
      </x:c>
      <x:c r="G65" s="71" t="str">
        <x:v>Indian National Congress</x:v>
      </x:c>
      <x:c r="H65" s="77" t="str">
        <x:v>#00BFFF</x:v>
      </x:c>
      <x:c r="I65" s="75" t="str"/>
      <x:c r="J65" s="75" t="str">
        <x:v>https://en.wikipedia.org/wiki/Maski_(Karnataka_Assembly_constituency)</x:v>
      </x:c>
      <x:c r="K65" s="75" t="str">
        <x:v>https://en.wikipedia.org/wiki/Karnataka_Legislative_Assembly</x:v>
      </x:c>
      <x:c r="L65" s="75" t="str"/>
    </x:row>
    <x:row r="66">
      <x:c r="A66" s="73" t="n">
        <x:v>60</x:v>
      </x:c>
      <x:c r="B66" s="71" t="str">
        <x:v>Kushtagi</x:v>
      </x:c>
      <x:c r="C66" s="74" t="str">
        <x:v>GEN</x:v>
      </x:c>
      <x:c r="D66" s="71" t="str">
        <x:v>Koppal</x:v>
      </x:c>
      <x:c r="E66" s="71" t="str">
        <x:v>Doddanagouda Hanamagouda Patil</x:v>
      </x:c>
      <x:c r="F66" s="74" t="str">
        <x:v>BJP</x:v>
      </x:c>
      <x:c r="G66" s="71" t="str">
        <x:v>Bharatiya Janata Party</x:v>
      </x:c>
      <x:c r="H66" s="76" t="str">
        <x:v>#FF9933</x:v>
      </x:c>
      <x:c r="I66" s="75" t="str"/>
      <x:c r="J66" s="75" t="str">
        <x:v>https://en.wikipedia.org/wiki/Kushtagi_(Karnataka_Assembly_constituency)</x:v>
      </x:c>
      <x:c r="K66" s="75" t="str">
        <x:v>https://en.wikipedia.org/wiki/Karnataka_Legislative_Assembly</x:v>
      </x:c>
      <x:c r="L66" s="75" t="str"/>
    </x:row>
    <x:row r="67">
      <x:c r="A67" s="73" t="n">
        <x:v>61</x:v>
      </x:c>
      <x:c r="B67" s="71" t="str">
        <x:v>Kanakagiri</x:v>
      </x:c>
      <x:c r="C67" s="74" t="str">
        <x:v>SC</x:v>
      </x:c>
      <x:c r="D67" s="71" t="str">
        <x:v>Koppal</x:v>
      </x:c>
      <x:c r="E67" s="71" t="str">
        <x:v>Tangadagi Shivaraj Sangappa</x:v>
      </x:c>
      <x:c r="F67" s="74" t="str">
        <x:v>INC</x:v>
      </x:c>
      <x:c r="G67" s="71" t="str">
        <x:v>Indian National Congress</x:v>
      </x:c>
      <x:c r="H67" s="77" t="str">
        <x:v>#00BFFF</x:v>
      </x:c>
      <x:c r="I67" s="75" t="str"/>
      <x:c r="J67" s="75" t="str">
        <x:v>https://en.wikipedia.org/wiki/Kanakagiri_(Karnataka_Assembly_constituency)</x:v>
      </x:c>
      <x:c r="K67" s="75" t="str">
        <x:v>https://en.wikipedia.org/wiki/Karnataka_Legislative_Assembly</x:v>
      </x:c>
      <x:c r="L67" s="75" t="str"/>
    </x:row>
    <x:row r="68">
      <x:c r="A68" s="73" t="n">
        <x:v>62</x:v>
      </x:c>
      <x:c r="B68" s="71" t="str">
        <x:v>Gangawati</x:v>
      </x:c>
      <x:c r="C68" s="74" t="str">
        <x:v>GEN</x:v>
      </x:c>
      <x:c r="D68" s="71" t="str">
        <x:v>Koppal</x:v>
      </x:c>
      <x:c r="E68" s="71" t="str">
        <x:v>G. Janardhana Reddy</x:v>
      </x:c>
      <x:c r="F68" s="74" t="str">
        <x:v>BJP</x:v>
      </x:c>
      <x:c r="G68" s="71" t="str">
        <x:v>Bharatiya Janata Party</x:v>
      </x:c>
      <x:c r="H68" s="76" t="str">
        <x:v>#FF9933</x:v>
      </x:c>
      <x:c r="I68" s="75" t="str">
        <x:v>KRPP merges with BJP</x:v>
      </x:c>
      <x:c r="J68" s="75" t="str">
        <x:v>https://en.wikipedia.org/wiki/Gangawati_(Karnataka_Assembly_constituency)</x:v>
      </x:c>
      <x:c r="K68" s="75" t="str">
        <x:v>https://en.wikipedia.org/wiki/Karnataka_Legislative_Assembly</x:v>
      </x:c>
      <x:c r="L68" s="75" t="str"/>
    </x:row>
    <x:row r="69">
      <x:c r="A69" s="73" t="n">
        <x:v>63</x:v>
      </x:c>
      <x:c r="B69" s="71" t="str">
        <x:v>Yelburga</x:v>
      </x:c>
      <x:c r="C69" s="74" t="str">
        <x:v>GEN</x:v>
      </x:c>
      <x:c r="D69" s="71" t="str">
        <x:v>Koppal</x:v>
      </x:c>
      <x:c r="E69" s="71" t="str">
        <x:v>Basavaraj Rayareddy</x:v>
      </x:c>
      <x:c r="F69" s="74" t="str">
        <x:v>INC</x:v>
      </x:c>
      <x:c r="G69" s="71" t="str">
        <x:v>Indian National Congress</x:v>
      </x:c>
      <x:c r="H69" s="77" t="str">
        <x:v>#00BFFF</x:v>
      </x:c>
      <x:c r="I69" s="75" t="str"/>
      <x:c r="J69" s="75" t="str">
        <x:v>https://en.wikipedia.org/wiki/Yelburga_(Karnataka_Assembly_constituency)</x:v>
      </x:c>
      <x:c r="K69" s="75" t="str">
        <x:v>https://en.wikipedia.org/wiki/Karnataka_Legislative_Assembly</x:v>
      </x:c>
      <x:c r="L69" s="75" t="str"/>
    </x:row>
    <x:row r="70">
      <x:c r="A70" s="73" t="n">
        <x:v>64</x:v>
      </x:c>
      <x:c r="B70" s="71" t="str">
        <x:v>Koppal</x:v>
      </x:c>
      <x:c r="C70" s="74" t="str">
        <x:v>GEN</x:v>
      </x:c>
      <x:c r="D70" s="71" t="str">
        <x:v>Koppal</x:v>
      </x:c>
      <x:c r="E70" s="71" t="str">
        <x:v>K. Raghavendra Hitnal</x:v>
      </x:c>
      <x:c r="F70" s="74" t="str">
        <x:v>INC</x:v>
      </x:c>
      <x:c r="G70" s="71" t="str">
        <x:v>Indian National Congress</x:v>
      </x:c>
      <x:c r="H70" s="77" t="str">
        <x:v>#00BFFF</x:v>
      </x:c>
      <x:c r="I70" s="75" t="str"/>
      <x:c r="J70" s="75" t="str">
        <x:v>https://en.wikipedia.org/wiki/Koppal_(Karnataka_Assembly_constituency)</x:v>
      </x:c>
      <x:c r="K70" s="75" t="str">
        <x:v>https://en.wikipedia.org/wiki/Karnataka_Legislative_Assembly</x:v>
      </x:c>
      <x:c r="L70" s="75" t="str"/>
    </x:row>
    <x:row r="71">
      <x:c r="A71" s="73" t="n">
        <x:v>65</x:v>
      </x:c>
      <x:c r="B71" s="71" t="str">
        <x:v>Shirahatti</x:v>
      </x:c>
      <x:c r="C71" s="74" t="str">
        <x:v>SC</x:v>
      </x:c>
      <x:c r="D71" s="71" t="str">
        <x:v>Gadag</x:v>
      </x:c>
      <x:c r="E71" s="71" t="str">
        <x:v>Chandru Lamani</x:v>
      </x:c>
      <x:c r="F71" s="74" t="str">
        <x:v>BJP</x:v>
      </x:c>
      <x:c r="G71" s="71" t="str">
        <x:v>Bharatiya Janata Party</x:v>
      </x:c>
      <x:c r="H71" s="76" t="str">
        <x:v>#FF9933</x:v>
      </x:c>
      <x:c r="I71" s="75" t="str"/>
      <x:c r="J71" s="75" t="str">
        <x:v>https://en.wikipedia.org/wiki/Shirahatti_(Karnataka_Assembly_constituency)</x:v>
      </x:c>
      <x:c r="K71" s="75" t="str">
        <x:v>https://en.wikipedia.org/wiki/Karnataka_Legislative_Assembly</x:v>
      </x:c>
      <x:c r="L71" s="75" t="str"/>
    </x:row>
    <x:row r="72">
      <x:c r="A72" s="73" t="n">
        <x:v>66</x:v>
      </x:c>
      <x:c r="B72" s="71" t="str">
        <x:v>Gadag</x:v>
      </x:c>
      <x:c r="C72" s="74" t="str">
        <x:v>GEN</x:v>
      </x:c>
      <x:c r="D72" s="71" t="str">
        <x:v>Gadag</x:v>
      </x:c>
      <x:c r="E72" s="71" t="str">
        <x:v>H. K. Patil</x:v>
      </x:c>
      <x:c r="F72" s="74" t="str">
        <x:v>INC</x:v>
      </x:c>
      <x:c r="G72" s="71" t="str">
        <x:v>Indian National Congress</x:v>
      </x:c>
      <x:c r="H72" s="77" t="str">
        <x:v>#00BFFF</x:v>
      </x:c>
      <x:c r="I72" s="75" t="str"/>
      <x:c r="J72" s="75" t="str">
        <x:v>https://en.wikipedia.org/wiki/Gadag_(Vidhana_Sabha_constituency)</x:v>
      </x:c>
      <x:c r="K72" s="75" t="str">
        <x:v>https://en.wikipedia.org/wiki/Karnataka_Legislative_Assembly</x:v>
      </x:c>
      <x:c r="L72" s="75" t="str"/>
    </x:row>
    <x:row r="73">
      <x:c r="A73" s="73" t="n">
        <x:v>67</x:v>
      </x:c>
      <x:c r="B73" s="71" t="str">
        <x:v>Ron</x:v>
      </x:c>
      <x:c r="C73" s="74" t="str">
        <x:v>GEN</x:v>
      </x:c>
      <x:c r="D73" s="71" t="str">
        <x:v>Gadag</x:v>
      </x:c>
      <x:c r="E73" s="71" t="str">
        <x:v>Gurupadagouda Sanganagouda Patil</x:v>
      </x:c>
      <x:c r="F73" s="74" t="str">
        <x:v>INC</x:v>
      </x:c>
      <x:c r="G73" s="71" t="str">
        <x:v>Indian National Congress</x:v>
      </x:c>
      <x:c r="H73" s="77" t="str">
        <x:v>#00BFFF</x:v>
      </x:c>
      <x:c r="I73" s="75" t="str"/>
      <x:c r="J73" s="75" t="str">
        <x:v>https://en.wikipedia.org/wiki/Ron_(Karnataka_Assembly_constituency)</x:v>
      </x:c>
      <x:c r="K73" s="75" t="str">
        <x:v>https://en.wikipedia.org/wiki/Karnataka_Legislative_Assembly</x:v>
      </x:c>
      <x:c r="L73" s="75" t="str"/>
    </x:row>
    <x:row r="74">
      <x:c r="A74" s="73" t="n">
        <x:v>68</x:v>
      </x:c>
      <x:c r="B74" s="71" t="str">
        <x:v>Nargund</x:v>
      </x:c>
      <x:c r="C74" s="74" t="str">
        <x:v>GEN</x:v>
      </x:c>
      <x:c r="D74" s="71" t="str">
        <x:v>Gadag</x:v>
      </x:c>
      <x:c r="E74" s="71" t="str">
        <x:v>C. C. Patil</x:v>
      </x:c>
      <x:c r="F74" s="74" t="str">
        <x:v>BJP</x:v>
      </x:c>
      <x:c r="G74" s="71" t="str">
        <x:v>Bharatiya Janata Party</x:v>
      </x:c>
      <x:c r="H74" s="76" t="str">
        <x:v>#FF9933</x:v>
      </x:c>
      <x:c r="I74" s="75" t="str"/>
      <x:c r="J74" s="75" t="str">
        <x:v>https://en.wikipedia.org/wiki/Nargund_(Vidhana_Sabha_constituency)</x:v>
      </x:c>
      <x:c r="K74" s="75" t="str">
        <x:v>https://en.wikipedia.org/wiki/Karnataka_Legislative_Assembly</x:v>
      </x:c>
      <x:c r="L74" s="75" t="str"/>
    </x:row>
    <x:row r="75">
      <x:c r="A75" s="73" t="n">
        <x:v>69</x:v>
      </x:c>
      <x:c r="B75" s="71" t="str">
        <x:v>Navalgund</x:v>
      </x:c>
      <x:c r="C75" s="74" t="str">
        <x:v>GEN</x:v>
      </x:c>
      <x:c r="D75" s="71" t="str">
        <x:v>Dharwad</x:v>
      </x:c>
      <x:c r="E75" s="71" t="str">
        <x:v>Ningaraddi Hanamaraddi Konaraddi</x:v>
      </x:c>
      <x:c r="F75" s="74" t="str">
        <x:v>INC</x:v>
      </x:c>
      <x:c r="G75" s="71" t="str">
        <x:v>Indian National Congress</x:v>
      </x:c>
      <x:c r="H75" s="77" t="str">
        <x:v>#00BFFF</x:v>
      </x:c>
      <x:c r="I75" s="75" t="str"/>
      <x:c r="J75" s="75" t="str">
        <x:v>https://en.wikipedia.org/wiki/Navalgund_(Karnataka_Assembly_constituency)</x:v>
      </x:c>
      <x:c r="K75" s="75" t="str">
        <x:v>https://en.wikipedia.org/wiki/Karnataka_Legislative_Assembly</x:v>
      </x:c>
      <x:c r="L75" s="75" t="str"/>
    </x:row>
    <x:row r="76">
      <x:c r="A76" s="73" t="n">
        <x:v>70</x:v>
      </x:c>
      <x:c r="B76" s="71" t="str">
        <x:v>Kundgol</x:v>
      </x:c>
      <x:c r="C76" s="74" t="str">
        <x:v>GEN</x:v>
      </x:c>
      <x:c r="D76" s="71" t="str">
        <x:v>Dharwad</x:v>
      </x:c>
      <x:c r="E76" s="71" t="str">
        <x:v>M. R. Patil</x:v>
      </x:c>
      <x:c r="F76" s="74" t="str">
        <x:v>BJP</x:v>
      </x:c>
      <x:c r="G76" s="71" t="str">
        <x:v>Bharatiya Janata Party</x:v>
      </x:c>
      <x:c r="H76" s="76" t="str">
        <x:v>#FF9933</x:v>
      </x:c>
      <x:c r="I76" s="75" t="str"/>
      <x:c r="J76" s="75" t="str">
        <x:v>https://en.wikipedia.org/wiki/Kundgol_(Vidhana_Sabha_constituency)</x:v>
      </x:c>
      <x:c r="K76" s="75" t="str">
        <x:v>https://en.wikipedia.org/wiki/Karnataka_Legislative_Assembly</x:v>
      </x:c>
      <x:c r="L76" s="75" t="str"/>
    </x:row>
    <x:row r="77">
      <x:c r="A77" s="73" t="n">
        <x:v>71</x:v>
      </x:c>
      <x:c r="B77" s="71" t="str">
        <x:v>Dharwad</x:v>
      </x:c>
      <x:c r="C77" s="74" t="str">
        <x:v>GEN</x:v>
      </x:c>
      <x:c r="D77" s="71" t="str">
        <x:v>Dharwad</x:v>
      </x:c>
      <x:c r="E77" s="71" t="str">
        <x:v>Vacant</x:v>
      </x:c>
      <x:c r="F77" s="74" t="str">
        <x:v>VAC</x:v>
      </x:c>
      <x:c r="G77" s="71" t="str">
        <x:v>Vacant</x:v>
      </x:c>
      <x:c r="H77" s="80" t="str">
        <x:v>#FFFFFF</x:v>
      </x:c>
      <x:c r="I77" s="75" t="str">
        <x:v>Marked vacant from the page's composition table; see historicalEntries for the member-table discrepancy.</x:v>
      </x:c>
      <x:c r="J77" s="75" t="str">
        <x:v>https://en.wikipedia.org/wiki/Dharwad_(Karnataka_Assembly_constituency)</x:v>
      </x:c>
      <x:c r="K77" s="75" t="str">
        <x:v>https://en.wikipedia.org/wiki/Karnataka_Legislative_Assembly</x:v>
      </x:c>
      <x:c r="L77" s="75" t="str">
        <x:v>Vinay Kulkarni (INC) — The members table still lists this member, but the main page composition table explicitly lists Dharwad as vacant.</x:v>
      </x:c>
    </x:row>
    <x:row r="78">
      <x:c r="A78" s="73" t="n">
        <x:v>72</x:v>
      </x:c>
      <x:c r="B78" s="71" t="str">
        <x:v>Hubli-Dharwad East</x:v>
      </x:c>
      <x:c r="C78" s="74" t="str">
        <x:v>SC</x:v>
      </x:c>
      <x:c r="D78" s="71" t="str">
        <x:v>Dharwad</x:v>
      </x:c>
      <x:c r="E78" s="71" t="str">
        <x:v>Abbayya Prasad</x:v>
      </x:c>
      <x:c r="F78" s="74" t="str">
        <x:v>INC</x:v>
      </x:c>
      <x:c r="G78" s="71" t="str">
        <x:v>Indian National Congress</x:v>
      </x:c>
      <x:c r="H78" s="77" t="str">
        <x:v>#00BFFF</x:v>
      </x:c>
      <x:c r="I78" s="75" t="str"/>
      <x:c r="J78" s="75" t="str">
        <x:v>https://en.wikipedia.org/wiki/Hubli-Dharwad_East_(Karnataka_Assembly_constituency)</x:v>
      </x:c>
      <x:c r="K78" s="75" t="str">
        <x:v>https://en.wikipedia.org/wiki/Karnataka_Legislative_Assembly</x:v>
      </x:c>
      <x:c r="L78" s="75" t="str"/>
    </x:row>
    <x:row r="79">
      <x:c r="A79" s="73" t="n">
        <x:v>73</x:v>
      </x:c>
      <x:c r="B79" s="71" t="str">
        <x:v>Hubli-Dharwad Central</x:v>
      </x:c>
      <x:c r="C79" s="74" t="str">
        <x:v>GEN</x:v>
      </x:c>
      <x:c r="D79" s="71" t="str">
        <x:v>Dharwad</x:v>
      </x:c>
      <x:c r="E79" s="71" t="str">
        <x:v>Mahesh Tenginakai</x:v>
      </x:c>
      <x:c r="F79" s="74" t="str">
        <x:v>BJP</x:v>
      </x:c>
      <x:c r="G79" s="71" t="str">
        <x:v>Bharatiya Janata Party</x:v>
      </x:c>
      <x:c r="H79" s="76" t="str">
        <x:v>#FF9933</x:v>
      </x:c>
      <x:c r="I79" s="75" t="str"/>
      <x:c r="J79" s="75" t="str">
        <x:v>https://en.wikipedia.org/wiki/Hubli-Dharwad_Central_(Karnataka_Assembly_constituency)</x:v>
      </x:c>
      <x:c r="K79" s="75" t="str">
        <x:v>https://en.wikipedia.org/wiki/Karnataka_Legislative_Assembly</x:v>
      </x:c>
      <x:c r="L79" s="75" t="str"/>
    </x:row>
    <x:row r="80">
      <x:c r="A80" s="73" t="n">
        <x:v>74</x:v>
      </x:c>
      <x:c r="B80" s="71" t="str">
        <x:v>Hubli-Dharwad West</x:v>
      </x:c>
      <x:c r="C80" s="74" t="str">
        <x:v>GEN</x:v>
      </x:c>
      <x:c r="D80" s="71" t="str">
        <x:v>Dharwad</x:v>
      </x:c>
      <x:c r="E80" s="71" t="str">
        <x:v>Arvind Bellad</x:v>
      </x:c>
      <x:c r="F80" s="74" t="str">
        <x:v>BJP</x:v>
      </x:c>
      <x:c r="G80" s="71" t="str">
        <x:v>Bharatiya Janata Party</x:v>
      </x:c>
      <x:c r="H80" s="76" t="str">
        <x:v>#FF9933</x:v>
      </x:c>
      <x:c r="I80" s="75" t="str">
        <x:v>Deputy Leader of the Opposition</x:v>
      </x:c>
      <x:c r="J80" s="75" t="str">
        <x:v>https://en.wikipedia.org/wiki/Hubli-Dharwad_West_(Karnataka_Assembly_constituency)</x:v>
      </x:c>
      <x:c r="K80" s="75" t="str">
        <x:v>https://en.wikipedia.org/wiki/Karnataka_Legislative_Assembly</x:v>
      </x:c>
      <x:c r="L80" s="75" t="str"/>
    </x:row>
    <x:row r="81">
      <x:c r="A81" s="73" t="n">
        <x:v>75</x:v>
      </x:c>
      <x:c r="B81" s="71" t="str">
        <x:v>Kalghatgi</x:v>
      </x:c>
      <x:c r="C81" s="74" t="str">
        <x:v>GEN</x:v>
      </x:c>
      <x:c r="D81" s="71" t="str">
        <x:v>Dharwad</x:v>
      </x:c>
      <x:c r="E81" s="71" t="str">
        <x:v>Santosh Lad</x:v>
      </x:c>
      <x:c r="F81" s="74" t="str">
        <x:v>INC</x:v>
      </x:c>
      <x:c r="G81" s="71" t="str">
        <x:v>Indian National Congress</x:v>
      </x:c>
      <x:c r="H81" s="77" t="str">
        <x:v>#00BFFF</x:v>
      </x:c>
      <x:c r="I81" s="75" t="str"/>
      <x:c r="J81" s="75" t="str">
        <x:v>https://en.wikipedia.org/wiki/Kalghatgi_(Karnataka_Assembly_constituency)</x:v>
      </x:c>
      <x:c r="K81" s="75" t="str">
        <x:v>https://en.wikipedia.org/wiki/Karnataka_Legislative_Assembly</x:v>
      </x:c>
      <x:c r="L81" s="75" t="str"/>
    </x:row>
    <x:row r="82">
      <x:c r="A82" s="73" t="n">
        <x:v>76</x:v>
      </x:c>
      <x:c r="B82" s="71" t="str">
        <x:v>Haliyal</x:v>
      </x:c>
      <x:c r="C82" s="74" t="str">
        <x:v>GEN</x:v>
      </x:c>
      <x:c r="D82" s="71" t="str">
        <x:v>Uttara Kannada</x:v>
      </x:c>
      <x:c r="E82" s="71" t="str">
        <x:v>R. V. Deshpande</x:v>
      </x:c>
      <x:c r="F82" s="74" t="str">
        <x:v>INC</x:v>
      </x:c>
      <x:c r="G82" s="71" t="str">
        <x:v>Indian National Congress</x:v>
      </x:c>
      <x:c r="H82" s="77" t="str">
        <x:v>#00BFFF</x:v>
      </x:c>
      <x:c r="I82" s="75" t="str"/>
      <x:c r="J82" s="75" t="str">
        <x:v>https://en.wikipedia.org/wiki/Haliyal_(Karnataka_Assembly_constituency)</x:v>
      </x:c>
      <x:c r="K82" s="75" t="str">
        <x:v>https://en.wikipedia.org/wiki/Karnataka_Legislative_Assembly</x:v>
      </x:c>
      <x:c r="L82" s="75" t="str"/>
    </x:row>
    <x:row r="83">
      <x:c r="A83" s="73" t="n">
        <x:v>77</x:v>
      </x:c>
      <x:c r="B83" s="71" t="str">
        <x:v>Karwar</x:v>
      </x:c>
      <x:c r="C83" s="74" t="str">
        <x:v>GEN</x:v>
      </x:c>
      <x:c r="D83" s="71" t="str">
        <x:v>Uttara Kannada</x:v>
      </x:c>
      <x:c r="E83" s="71" t="str">
        <x:v>Satish Krishna Sail</x:v>
      </x:c>
      <x:c r="F83" s="74" t="str">
        <x:v>INC</x:v>
      </x:c>
      <x:c r="G83" s="71" t="str">
        <x:v>Indian National Congress</x:v>
      </x:c>
      <x:c r="H83" s="77" t="str">
        <x:v>#00BFFF</x:v>
      </x:c>
      <x:c r="I83" s="75" t="str"/>
      <x:c r="J83" s="75" t="str">
        <x:v>https://en.wikipedia.org/wiki/Karwar_(Karnataka_Assembly_constituency)</x:v>
      </x:c>
      <x:c r="K83" s="75" t="str">
        <x:v>https://en.wikipedia.org/wiki/Karnataka_Legislative_Assembly</x:v>
      </x:c>
      <x:c r="L83" s="75" t="str"/>
    </x:row>
    <x:row r="84">
      <x:c r="A84" s="73" t="n">
        <x:v>78</x:v>
      </x:c>
      <x:c r="B84" s="71" t="str">
        <x:v>Kumta</x:v>
      </x:c>
      <x:c r="C84" s="74" t="str">
        <x:v>GEN</x:v>
      </x:c>
      <x:c r="D84" s="71" t="str">
        <x:v>Uttara Kannada</x:v>
      </x:c>
      <x:c r="E84" s="71" t="str">
        <x:v>Dinakar Keshav Shetty</x:v>
      </x:c>
      <x:c r="F84" s="74" t="str">
        <x:v>BJP</x:v>
      </x:c>
      <x:c r="G84" s="71" t="str">
        <x:v>Bharatiya Janata Party</x:v>
      </x:c>
      <x:c r="H84" s="76" t="str">
        <x:v>#FF9933</x:v>
      </x:c>
      <x:c r="I84" s="75" t="str"/>
      <x:c r="J84" s="75" t="str">
        <x:v>https://en.wikipedia.org/wiki/Kumta_(Karnataka_Assembly_constituency)</x:v>
      </x:c>
      <x:c r="K84" s="75" t="str">
        <x:v>https://en.wikipedia.org/wiki/Karnataka_Legislative_Assembly</x:v>
      </x:c>
      <x:c r="L84" s="75" t="str"/>
    </x:row>
    <x:row r="85">
      <x:c r="A85" s="73" t="n">
        <x:v>79</x:v>
      </x:c>
      <x:c r="B85" s="71" t="str">
        <x:v>Bhatkal</x:v>
      </x:c>
      <x:c r="C85" s="74" t="str">
        <x:v>GEN</x:v>
      </x:c>
      <x:c r="D85" s="71" t="str">
        <x:v>Uttara Kannada</x:v>
      </x:c>
      <x:c r="E85" s="71" t="str">
        <x:v>Mankala Vaidya</x:v>
      </x:c>
      <x:c r="F85" s="74" t="str">
        <x:v>INC</x:v>
      </x:c>
      <x:c r="G85" s="71" t="str">
        <x:v>Indian National Congress</x:v>
      </x:c>
      <x:c r="H85" s="77" t="str">
        <x:v>#00BFFF</x:v>
      </x:c>
      <x:c r="I85" s="75" t="str"/>
      <x:c r="J85" s="75" t="str">
        <x:v>https://en.wikipedia.org/wiki/Bhatkal_(Karnataka_Assembly_constituency)</x:v>
      </x:c>
      <x:c r="K85" s="75" t="str">
        <x:v>https://en.wikipedia.org/wiki/Karnataka_Legislative_Assembly</x:v>
      </x:c>
      <x:c r="L85" s="75" t="str"/>
    </x:row>
    <x:row r="86">
      <x:c r="A86" s="73" t="n">
        <x:v>80</x:v>
      </x:c>
      <x:c r="B86" s="71" t="str">
        <x:v>Sirsi</x:v>
      </x:c>
      <x:c r="C86" s="74" t="str">
        <x:v>GEN</x:v>
      </x:c>
      <x:c r="D86" s="71" t="str">
        <x:v>Uttara Kannada</x:v>
      </x:c>
      <x:c r="E86" s="71" t="str">
        <x:v>Bhimanna T. Naik</x:v>
      </x:c>
      <x:c r="F86" s="74" t="str">
        <x:v>INC</x:v>
      </x:c>
      <x:c r="G86" s="71" t="str">
        <x:v>Indian National Congress</x:v>
      </x:c>
      <x:c r="H86" s="77" t="str">
        <x:v>#00BFFF</x:v>
      </x:c>
      <x:c r="I86" s="75" t="str"/>
      <x:c r="J86" s="75" t="str">
        <x:v>https://en.wikipedia.org/wiki/Sirsi_(Karnataka_Assembly_constituency)</x:v>
      </x:c>
      <x:c r="K86" s="75" t="str">
        <x:v>https://en.wikipedia.org/wiki/Karnataka_Legislative_Assembly</x:v>
      </x:c>
      <x:c r="L86" s="75" t="str"/>
    </x:row>
    <x:row r="87">
      <x:c r="A87" s="73" t="n">
        <x:v>81</x:v>
      </x:c>
      <x:c r="B87" s="71" t="str">
        <x:v>Yellapur</x:v>
      </x:c>
      <x:c r="C87" s="74" t="str">
        <x:v>GEN</x:v>
      </x:c>
      <x:c r="D87" s="71" t="str">
        <x:v>Uttara Kannada</x:v>
      </x:c>
      <x:c r="E87" s="71" t="str">
        <x:v>Arbail Hebbar Shivaram</x:v>
      </x:c>
      <x:c r="F87" s="74" t="str">
        <x:v>IND</x:v>
      </x:c>
      <x:c r="G87" s="71" t="str">
        <x:v>Independent</x:v>
      </x:c>
      <x:c r="H87" s="79" t="str">
        <x:v>#DCDCDC</x:v>
      </x:c>
      <x:c r="I87" s="75" t="str">
        <x:v>Expelled from Bharatiya Janata Party</x:v>
      </x:c>
      <x:c r="J87" s="75" t="str">
        <x:v>https://en.wikipedia.org/wiki/Yellapur_(Karnataka_Assembly_constituency)</x:v>
      </x:c>
      <x:c r="K87" s="75" t="str">
        <x:v>https://en.wikipedia.org/wiki/Karnataka_Legislative_Assembly</x:v>
      </x:c>
      <x:c r="L87" s="75" t="str"/>
    </x:row>
    <x:row r="88">
      <x:c r="A88" s="73" t="n">
        <x:v>82</x:v>
      </x:c>
      <x:c r="B88" s="71" t="str">
        <x:v>Hangal</x:v>
      </x:c>
      <x:c r="C88" s="74" t="str">
        <x:v>GEN</x:v>
      </x:c>
      <x:c r="D88" s="71" t="str">
        <x:v>Haveri</x:v>
      </x:c>
      <x:c r="E88" s="71" t="str">
        <x:v>Srinivas Mane</x:v>
      </x:c>
      <x:c r="F88" s="74" t="str">
        <x:v>INC</x:v>
      </x:c>
      <x:c r="G88" s="71" t="str">
        <x:v>Indian National Congress</x:v>
      </x:c>
      <x:c r="H88" s="77" t="str">
        <x:v>#00BFFF</x:v>
      </x:c>
      <x:c r="I88" s="75" t="str"/>
      <x:c r="J88" s="75" t="str">
        <x:v>https://en.wikipedia.org/wiki/Hangal_(Vidhana_Sabha_constituency)</x:v>
      </x:c>
      <x:c r="K88" s="75" t="str">
        <x:v>https://en.wikipedia.org/wiki/Karnataka_Legislative_Assembly</x:v>
      </x:c>
      <x:c r="L88" s="75" t="str"/>
    </x:row>
    <x:row r="89">
      <x:c r="A89" s="73" t="n">
        <x:v>83</x:v>
      </x:c>
      <x:c r="B89" s="71" t="str">
        <x:v>Shiggaon</x:v>
      </x:c>
      <x:c r="C89" s="74" t="str">
        <x:v>GEN</x:v>
      </x:c>
      <x:c r="D89" s="71" t="str">
        <x:v>Haveri</x:v>
      </x:c>
      <x:c r="E89" s="71" t="str">
        <x:v>Pathan Yasir Ahmed Khan</x:v>
      </x:c>
      <x:c r="F89" s="74" t="str">
        <x:v>INC</x:v>
      </x:c>
      <x:c r="G89" s="71" t="str">
        <x:v>Indian National Congress</x:v>
      </x:c>
      <x:c r="H89" s="77" t="str">
        <x:v>#00BFFF</x:v>
      </x:c>
      <x:c r="I89" s="75" t="str">
        <x:v>Elected on 23 November 2024</x:v>
      </x:c>
      <x:c r="J89" s="75" t="str">
        <x:v>https://en.wikipedia.org/wiki/Shiggaon_(Karnataka_Assembly_constituency)</x:v>
      </x:c>
      <x:c r="K89" s="75" t="str">
        <x:v>https://en.wikipedia.org/wiki/Karnataka_Legislative_Assembly</x:v>
      </x:c>
      <x:c r="L89" s="75" t="str">
        <x:v>Basavaraj Bommai (BJP) — Elected to Lok Sabha on 4 June 2024</x:v>
      </x:c>
    </x:row>
    <x:row r="90">
      <x:c r="A90" s="73" t="n">
        <x:v>84</x:v>
      </x:c>
      <x:c r="B90" s="71" t="str">
        <x:v>Haveri</x:v>
      </x:c>
      <x:c r="C90" s="74" t="str">
        <x:v>SC</x:v>
      </x:c>
      <x:c r="D90" s="71" t="str">
        <x:v>Haveri</x:v>
      </x:c>
      <x:c r="E90" s="71" t="str">
        <x:v>Rudrappa Manappa Lamani</x:v>
      </x:c>
      <x:c r="F90" s="74" t="str">
        <x:v>INC</x:v>
      </x:c>
      <x:c r="G90" s="71" t="str">
        <x:v>Indian National Congress</x:v>
      </x:c>
      <x:c r="H90" s="77" t="str">
        <x:v>#00BFFF</x:v>
      </x:c>
      <x:c r="I90" s="75" t="str">
        <x:v>Deputy Speaker</x:v>
      </x:c>
      <x:c r="J90" s="75" t="str">
        <x:v>https://en.wikipedia.org/wiki/Haveri_(Karnataka_Assembly_constituency)</x:v>
      </x:c>
      <x:c r="K90" s="75" t="str">
        <x:v>https://en.wikipedia.org/wiki/Karnataka_Legislative_Assembly</x:v>
      </x:c>
      <x:c r="L90" s="75" t="str"/>
    </x:row>
    <x:row r="91">
      <x:c r="A91" s="73" t="n">
        <x:v>85</x:v>
      </x:c>
      <x:c r="B91" s="71" t="str">
        <x:v>Byadgi</x:v>
      </x:c>
      <x:c r="C91" s="74" t="str">
        <x:v>GEN</x:v>
      </x:c>
      <x:c r="D91" s="71" t="str">
        <x:v>Haveri</x:v>
      </x:c>
      <x:c r="E91" s="71" t="str">
        <x:v>Basavaraj Neelappa Shivannanavar</x:v>
      </x:c>
      <x:c r="F91" s="74" t="str">
        <x:v>INC</x:v>
      </x:c>
      <x:c r="G91" s="71" t="str">
        <x:v>Indian National Congress</x:v>
      </x:c>
      <x:c r="H91" s="77" t="str">
        <x:v>#00BFFF</x:v>
      </x:c>
      <x:c r="I91" s="75" t="str"/>
      <x:c r="J91" s="75" t="str">
        <x:v>https://en.wikipedia.org/wiki/Byadgi_(Karnataka_Assembly_constituency)</x:v>
      </x:c>
      <x:c r="K91" s="75" t="str">
        <x:v>https://en.wikipedia.org/wiki/Karnataka_Legislative_Assembly</x:v>
      </x:c>
      <x:c r="L91" s="75" t="str"/>
    </x:row>
    <x:row r="92">
      <x:c r="A92" s="73" t="n">
        <x:v>86</x:v>
      </x:c>
      <x:c r="B92" s="71" t="str">
        <x:v>Hirekerur</x:v>
      </x:c>
      <x:c r="C92" s="74" t="str">
        <x:v>GEN</x:v>
      </x:c>
      <x:c r="D92" s="71" t="str">
        <x:v>Haveri</x:v>
      </x:c>
      <x:c r="E92" s="71" t="str">
        <x:v>U. B. Banakar</x:v>
      </x:c>
      <x:c r="F92" s="74" t="str">
        <x:v>INC</x:v>
      </x:c>
      <x:c r="G92" s="71" t="str">
        <x:v>Indian National Congress</x:v>
      </x:c>
      <x:c r="H92" s="77" t="str">
        <x:v>#00BFFF</x:v>
      </x:c>
      <x:c r="I92" s="75" t="str"/>
      <x:c r="J92" s="75" t="str">
        <x:v>https://en.wikipedia.org/wiki/Hirekerur_(Karnataka_Assembly_constituency)</x:v>
      </x:c>
      <x:c r="K92" s="75" t="str">
        <x:v>https://en.wikipedia.org/wiki/Karnataka_Legislative_Assembly</x:v>
      </x:c>
      <x:c r="L92" s="75" t="str"/>
    </x:row>
    <x:row r="93">
      <x:c r="A93" s="73" t="n">
        <x:v>87</x:v>
      </x:c>
      <x:c r="B93" s="71" t="str">
        <x:v>Ranebennur</x:v>
      </x:c>
      <x:c r="C93" s="74" t="str">
        <x:v>GEN</x:v>
      </x:c>
      <x:c r="D93" s="71" t="str">
        <x:v>Haveri</x:v>
      </x:c>
      <x:c r="E93" s="71" t="str">
        <x:v>Prakash Koliwad</x:v>
      </x:c>
      <x:c r="F93" s="74" t="str">
        <x:v>INC</x:v>
      </x:c>
      <x:c r="G93" s="71" t="str">
        <x:v>Indian National Congress</x:v>
      </x:c>
      <x:c r="H93" s="77" t="str">
        <x:v>#00BFFF</x:v>
      </x:c>
      <x:c r="I93" s="75" t="str"/>
      <x:c r="J93" s="75" t="str">
        <x:v>https://en.wikipedia.org/wiki/Ranebennur_(Karnataka_Assembly_constituency)</x:v>
      </x:c>
      <x:c r="K93" s="75" t="str">
        <x:v>https://en.wikipedia.org/wiki/Karnataka_Legislative_Assembly</x:v>
      </x:c>
      <x:c r="L93" s="75" t="str"/>
    </x:row>
    <x:row r="94">
      <x:c r="A94" s="73" t="n">
        <x:v>88</x:v>
      </x:c>
      <x:c r="B94" s="71" t="str">
        <x:v>Hoovina Hadagali</x:v>
      </x:c>
      <x:c r="C94" s="74" t="str">
        <x:v>SC</x:v>
      </x:c>
      <x:c r="D94" s="71" t="str">
        <x:v>Vijayanagara</x:v>
      </x:c>
      <x:c r="E94" s="71" t="str">
        <x:v>Krishna Nayaka</x:v>
      </x:c>
      <x:c r="F94" s="74" t="str">
        <x:v>BJP</x:v>
      </x:c>
      <x:c r="G94" s="71" t="str">
        <x:v>Bharatiya Janata Party</x:v>
      </x:c>
      <x:c r="H94" s="76" t="str">
        <x:v>#FF9933</x:v>
      </x:c>
      <x:c r="I94" s="75" t="str"/>
      <x:c r="J94" s="75" t="str">
        <x:v>https://en.wikipedia.org/wiki/Hoovina_Hadagali_Assembly_constituency</x:v>
      </x:c>
      <x:c r="K94" s="75" t="str">
        <x:v>https://en.wikipedia.org/wiki/Karnataka_Legislative_Assembly</x:v>
      </x:c>
      <x:c r="L94" s="75" t="str"/>
    </x:row>
    <x:row r="95">
      <x:c r="A95" s="73" t="n">
        <x:v>89</x:v>
      </x:c>
      <x:c r="B95" s="71" t="str">
        <x:v>Hagaribommanahalli</x:v>
      </x:c>
      <x:c r="C95" s="74" t="str">
        <x:v>SC</x:v>
      </x:c>
      <x:c r="D95" s="71" t="str">
        <x:v>Vijayanagara</x:v>
      </x:c>
      <x:c r="E95" s="71" t="str">
        <x:v>K. Nemaraja Naik</x:v>
      </x:c>
      <x:c r="F95" s="74" t="str">
        <x:v>JDS</x:v>
      </x:c>
      <x:c r="G95" s="71" t="str">
        <x:v>Janata Dal (Secular)</x:v>
      </x:c>
      <x:c r="H95" s="78" t="str">
        <x:v>#02865A</x:v>
      </x:c>
      <x:c r="I95" s="75" t="str"/>
      <x:c r="J95" s="75" t="str">
        <x:v>https://en.wikipedia.org/wiki/Hagaribommanahalli_(Karnataka_Assembly_constituency)</x:v>
      </x:c>
      <x:c r="K95" s="75" t="str">
        <x:v>https://en.wikipedia.org/wiki/Karnataka_Legislative_Assembly</x:v>
      </x:c>
      <x:c r="L95" s="75" t="str"/>
    </x:row>
    <x:row r="96">
      <x:c r="A96" s="73" t="n">
        <x:v>90</x:v>
      </x:c>
      <x:c r="B96" s="71" t="str">
        <x:v>Vijayanagara</x:v>
      </x:c>
      <x:c r="C96" s="74" t="str">
        <x:v>GEN</x:v>
      </x:c>
      <x:c r="D96" s="71" t="str">
        <x:v>Vijayanagara</x:v>
      </x:c>
      <x:c r="E96" s="71" t="str">
        <x:v>H. R. Gaviyappa</x:v>
      </x:c>
      <x:c r="F96" s="74" t="str">
        <x:v>INC</x:v>
      </x:c>
      <x:c r="G96" s="71" t="str">
        <x:v>Indian National Congress</x:v>
      </x:c>
      <x:c r="H96" s="77" t="str">
        <x:v>#00BFFF</x:v>
      </x:c>
      <x:c r="I96" s="75" t="str"/>
      <x:c r="J96" s="75" t="str">
        <x:v>https://en.wikipedia.org/wiki/Vijayanagara_(Karnataka_Assembly_constituency)</x:v>
      </x:c>
      <x:c r="K96" s="75" t="str">
        <x:v>https://en.wikipedia.org/wiki/Karnataka_Legislative_Assembly</x:v>
      </x:c>
      <x:c r="L96" s="75" t="str"/>
    </x:row>
    <x:row r="97">
      <x:c r="A97" s="73" t="n">
        <x:v>91</x:v>
      </x:c>
      <x:c r="B97" s="71" t="str">
        <x:v>Kampli</x:v>
      </x:c>
      <x:c r="C97" s="74" t="str">
        <x:v>ST</x:v>
      </x:c>
      <x:c r="D97" s="71" t="str">
        <x:v>Ballari</x:v>
      </x:c>
      <x:c r="E97" s="71" t="str">
        <x:v>J. N. Ganesh</x:v>
      </x:c>
      <x:c r="F97" s="74" t="str">
        <x:v>INC</x:v>
      </x:c>
      <x:c r="G97" s="71" t="str">
        <x:v>Indian National Congress</x:v>
      </x:c>
      <x:c r="H97" s="77" t="str">
        <x:v>#00BFFF</x:v>
      </x:c>
      <x:c r="I97" s="75" t="str"/>
      <x:c r="J97" s="75" t="str">
        <x:v>https://en.wikipedia.org/wiki/Kampli_(Karnataka_Assembly_constituency)</x:v>
      </x:c>
      <x:c r="K97" s="75" t="str">
        <x:v>https://en.wikipedia.org/wiki/Karnataka_Legislative_Assembly</x:v>
      </x:c>
      <x:c r="L97" s="75" t="str"/>
    </x:row>
    <x:row r="98">
      <x:c r="A98" s="73" t="n">
        <x:v>92</x:v>
      </x:c>
      <x:c r="B98" s="71" t="str">
        <x:v>Siruguppa</x:v>
      </x:c>
      <x:c r="C98" s="74" t="str">
        <x:v>ST</x:v>
      </x:c>
      <x:c r="D98" s="71" t="str">
        <x:v>Ballari</x:v>
      </x:c>
      <x:c r="E98" s="71" t="str">
        <x:v>B. M. Nagaraja</x:v>
      </x:c>
      <x:c r="F98" s="74" t="str">
        <x:v>INC</x:v>
      </x:c>
      <x:c r="G98" s="71" t="str">
        <x:v>Indian National Congress</x:v>
      </x:c>
      <x:c r="H98" s="77" t="str">
        <x:v>#00BFFF</x:v>
      </x:c>
      <x:c r="I98" s="75" t="str"/>
      <x:c r="J98" s="75" t="str">
        <x:v>https://en.wikipedia.org/wiki/Siruguppa_(Karnataka_Assembly_constituency)</x:v>
      </x:c>
      <x:c r="K98" s="75" t="str">
        <x:v>https://en.wikipedia.org/wiki/Karnataka_Legislative_Assembly</x:v>
      </x:c>
      <x:c r="L98" s="75" t="str"/>
    </x:row>
    <x:row r="99">
      <x:c r="A99" s="73" t="n">
        <x:v>93</x:v>
      </x:c>
      <x:c r="B99" s="71" t="str">
        <x:v>Bellary</x:v>
      </x:c>
      <x:c r="C99" s="74" t="str">
        <x:v>ST</x:v>
      </x:c>
      <x:c r="D99" s="71" t="str">
        <x:v>Ballari</x:v>
      </x:c>
      <x:c r="E99" s="71" t="str">
        <x:v>B Nagendra</x:v>
      </x:c>
      <x:c r="F99" s="74" t="str">
        <x:v>INC</x:v>
      </x:c>
      <x:c r="G99" s="71" t="str">
        <x:v>Indian National Congress</x:v>
      </x:c>
      <x:c r="H99" s="77" t="str">
        <x:v>#00BFFF</x:v>
      </x:c>
      <x:c r="I99" s="75" t="str">
        <x:v>Cabinet Minister (Second Siddaramaiah ministry)</x:v>
      </x:c>
      <x:c r="J99" s="75" t="str">
        <x:v>https://en.wikipedia.org/wiki/Bellary_(Vidhana_Sabha_constituency)</x:v>
      </x:c>
      <x:c r="K99" s="75" t="str">
        <x:v>https://en.wikipedia.org/wiki/Karnataka_Legislative_Assembly</x:v>
      </x:c>
      <x:c r="L99" s="75" t="str"/>
    </x:row>
    <x:row r="100">
      <x:c r="A100" s="73" t="n">
        <x:v>94</x:v>
      </x:c>
      <x:c r="B100" s="71" t="str">
        <x:v>Bellary City</x:v>
      </x:c>
      <x:c r="C100" s="74" t="str">
        <x:v>GEN</x:v>
      </x:c>
      <x:c r="D100" s="71" t="str">
        <x:v>Ballari</x:v>
      </x:c>
      <x:c r="E100" s="71" t="str">
        <x:v>Nara Bharath Reddy</x:v>
      </x:c>
      <x:c r="F100" s="74" t="str">
        <x:v>INC</x:v>
      </x:c>
      <x:c r="G100" s="71" t="str">
        <x:v>Indian National Congress</x:v>
      </x:c>
      <x:c r="H100" s="77" t="str">
        <x:v>#00BFFF</x:v>
      </x:c>
      <x:c r="I100" s="75" t="str"/>
      <x:c r="J100" s="75" t="str">
        <x:v>https://en.wikipedia.org/wiki/Bellary_City_(Vidhana_Sabha_constituency)</x:v>
      </x:c>
      <x:c r="K100" s="75" t="str">
        <x:v>https://en.wikipedia.org/wiki/Karnataka_Legislative_Assembly</x:v>
      </x:c>
      <x:c r="L100" s="75" t="str"/>
    </x:row>
    <x:row r="101">
      <x:c r="A101" s="73" t="n">
        <x:v>95</x:v>
      </x:c>
      <x:c r="B101" s="71" t="str">
        <x:v>Sandur</x:v>
      </x:c>
      <x:c r="C101" s="74" t="str">
        <x:v>ST</x:v>
      </x:c>
      <x:c r="D101" s="71" t="str">
        <x:v>Ballari</x:v>
      </x:c>
      <x:c r="E101" s="71" t="str">
        <x:v>E. Annapoorna</x:v>
      </x:c>
      <x:c r="F101" s="74" t="str">
        <x:v>INC</x:v>
      </x:c>
      <x:c r="G101" s="71" t="str">
        <x:v>Indian National Congress</x:v>
      </x:c>
      <x:c r="H101" s="77" t="str">
        <x:v>#00BFFF</x:v>
      </x:c>
      <x:c r="I101" s="75" t="str">
        <x:v>Elected on 23 November 2024</x:v>
      </x:c>
      <x:c r="J101" s="75" t="str">
        <x:v>https://en.wikipedia.org/wiki/Sandur_(Karnataka_Assembly_constituency)</x:v>
      </x:c>
      <x:c r="K101" s="75" t="str">
        <x:v>https://en.wikipedia.org/wiki/Karnataka_Legislative_Assembly</x:v>
      </x:c>
      <x:c r="L101" s="75" t="str">
        <x:v>E. Tukaram (INC) — Elected to Lok Sabha on 4 June 2024</x:v>
      </x:c>
    </x:row>
    <x:row r="102">
      <x:c r="A102" s="73" t="n">
        <x:v>96</x:v>
      </x:c>
      <x:c r="B102" s="71" t="str">
        <x:v>Kudligi</x:v>
      </x:c>
      <x:c r="C102" s="74" t="str">
        <x:v>ST</x:v>
      </x:c>
      <x:c r="D102" s="71" t="str">
        <x:v>Vijayanagara</x:v>
      </x:c>
      <x:c r="E102" s="71" t="str">
        <x:v>N. T. Srinivas</x:v>
      </x:c>
      <x:c r="F102" s="74" t="str">
        <x:v>INC</x:v>
      </x:c>
      <x:c r="G102" s="71" t="str">
        <x:v>Indian National Congress</x:v>
      </x:c>
      <x:c r="H102" s="77" t="str">
        <x:v>#00BFFF</x:v>
      </x:c>
      <x:c r="I102" s="75" t="str"/>
      <x:c r="J102" s="75" t="str">
        <x:v>https://en.wikipedia.org/wiki/Kudligi_(Karnataka_Assembly_constituency)</x:v>
      </x:c>
      <x:c r="K102" s="75" t="str">
        <x:v>https://en.wikipedia.org/wiki/Karnataka_Legislative_Assembly</x:v>
      </x:c>
      <x:c r="L102" s="75" t="str"/>
    </x:row>
    <x:row r="103">
      <x:c r="A103" s="73" t="n">
        <x:v>97</x:v>
      </x:c>
      <x:c r="B103" s="71" t="str">
        <x:v>Molakalmuru</x:v>
      </x:c>
      <x:c r="C103" s="74" t="str">
        <x:v>ST</x:v>
      </x:c>
      <x:c r="D103" s="71" t="str">
        <x:v>Chitradurga</x:v>
      </x:c>
      <x:c r="E103" s="71" t="str">
        <x:v>N. Y. Gopalakrishna</x:v>
      </x:c>
      <x:c r="F103" s="74" t="str">
        <x:v>INC</x:v>
      </x:c>
      <x:c r="G103" s="71" t="str">
        <x:v>Indian National Congress</x:v>
      </x:c>
      <x:c r="H103" s="77" t="str">
        <x:v>#00BFFF</x:v>
      </x:c>
      <x:c r="I103" s="75" t="str"/>
      <x:c r="J103" s="75" t="str">
        <x:v>https://en.wikipedia.org/wiki/Molakalmuru_(Karnataka_Assembly_constituency)</x:v>
      </x:c>
      <x:c r="K103" s="75" t="str">
        <x:v>https://en.wikipedia.org/wiki/Karnataka_Legislative_Assembly</x:v>
      </x:c>
      <x:c r="L103" s="75" t="str"/>
    </x:row>
    <x:row r="104">
      <x:c r="A104" s="73" t="n">
        <x:v>98</x:v>
      </x:c>
      <x:c r="B104" s="71" t="str">
        <x:v>Challakere</x:v>
      </x:c>
      <x:c r="C104" s="74" t="str">
        <x:v>ST</x:v>
      </x:c>
      <x:c r="D104" s="71" t="str">
        <x:v>Chitradurga</x:v>
      </x:c>
      <x:c r="E104" s="71" t="str">
        <x:v>T. Raghumurthy</x:v>
      </x:c>
      <x:c r="F104" s="74" t="str">
        <x:v>INC</x:v>
      </x:c>
      <x:c r="G104" s="71" t="str">
        <x:v>Indian National Congress</x:v>
      </x:c>
      <x:c r="H104" s="77" t="str">
        <x:v>#00BFFF</x:v>
      </x:c>
      <x:c r="I104" s="75" t="str"/>
      <x:c r="J104" s="75" t="str">
        <x:v>https://en.wikipedia.org/wiki/Challakere_(Karnataka_Assembly_constituency)</x:v>
      </x:c>
      <x:c r="K104" s="75" t="str">
        <x:v>https://en.wikipedia.org/wiki/Karnataka_Legislative_Assembly</x:v>
      </x:c>
      <x:c r="L104" s="75" t="str"/>
    </x:row>
    <x:row r="105">
      <x:c r="A105" s="73" t="n">
        <x:v>99</x:v>
      </x:c>
      <x:c r="B105" s="71" t="str">
        <x:v>Chitradurga</x:v>
      </x:c>
      <x:c r="C105" s="74" t="str">
        <x:v>GEN</x:v>
      </x:c>
      <x:c r="D105" s="71" t="str">
        <x:v>Chitradurga</x:v>
      </x:c>
      <x:c r="E105" s="71" t="str">
        <x:v>K. C. Veerendra Puppy</x:v>
      </x:c>
      <x:c r="F105" s="74" t="str">
        <x:v>INC</x:v>
      </x:c>
      <x:c r="G105" s="71" t="str">
        <x:v>Indian National Congress</x:v>
      </x:c>
      <x:c r="H105" s="77" t="str">
        <x:v>#00BFFF</x:v>
      </x:c>
      <x:c r="I105" s="75" t="str"/>
      <x:c r="J105" s="75" t="str">
        <x:v>https://en.wikipedia.org/wiki/Chitradurga_(Vidhana_Sabha_constituency)</x:v>
      </x:c>
      <x:c r="K105" s="75" t="str">
        <x:v>https://en.wikipedia.org/wiki/Karnataka_Legislative_Assembly</x:v>
      </x:c>
      <x:c r="L105" s="75" t="str"/>
    </x:row>
    <x:row r="106">
      <x:c r="A106" s="73" t="n">
        <x:v>100</x:v>
      </x:c>
      <x:c r="B106" s="71" t="str">
        <x:v>Hiriyur</x:v>
      </x:c>
      <x:c r="C106" s="74" t="str">
        <x:v>GEN</x:v>
      </x:c>
      <x:c r="D106" s="71" t="str">
        <x:v>Chitradurga</x:v>
      </x:c>
      <x:c r="E106" s="71" t="str">
        <x:v>Vacant</x:v>
      </x:c>
      <x:c r="F106" s="74" t="str">
        <x:v>VAC</x:v>
      </x:c>
      <x:c r="G106" s="71" t="str">
        <x:v>Vacant</x:v>
      </x:c>
      <x:c r="H106" s="80" t="str">
        <x:v>#FFFFFF</x:v>
      </x:c>
      <x:c r="I106" s="75" t="str">
        <x:v>Vacant; previous incumbent and vacancy reason retained in historicalEntries.</x:v>
      </x:c>
      <x:c r="J106" s="75" t="str">
        <x:v>https://en.wikipedia.org/wiki/Hiriyur_(Karnataka_Assembly_constituency)</x:v>
      </x:c>
      <x:c r="K106" s="75" t="str">
        <x:v>https://en.wikipedia.org/wiki/Karnataka_Legislative_Assembly</x:v>
      </x:c>
      <x:c r="L106" s="75" t="str">
        <x:v>D. Sudhakar (INC) — Died on 10 May 2026</x:v>
      </x:c>
    </x:row>
    <x:row r="107">
      <x:c r="A107" s="73" t="n">
        <x:v>101</x:v>
      </x:c>
      <x:c r="B107" s="71" t="str">
        <x:v>Hosadurga</x:v>
      </x:c>
      <x:c r="C107" s="74" t="str">
        <x:v>GEN</x:v>
      </x:c>
      <x:c r="D107" s="71" t="str">
        <x:v>Chitradurga</x:v>
      </x:c>
      <x:c r="E107" s="71" t="str">
        <x:v>B. G. Govindappa</x:v>
      </x:c>
      <x:c r="F107" s="74" t="str">
        <x:v>INC</x:v>
      </x:c>
      <x:c r="G107" s="71" t="str">
        <x:v>Indian National Congress</x:v>
      </x:c>
      <x:c r="H107" s="77" t="str">
        <x:v>#00BFFF</x:v>
      </x:c>
      <x:c r="I107" s="75" t="str"/>
      <x:c r="J107" s="75" t="str">
        <x:v>https://en.wikipedia.org/wiki/Hosadurga_(Karnataka_Assembly_constituency)</x:v>
      </x:c>
      <x:c r="K107" s="75" t="str">
        <x:v>https://en.wikipedia.org/wiki/Karnataka_Legislative_Assembly</x:v>
      </x:c>
      <x:c r="L107" s="75" t="str"/>
    </x:row>
    <x:row r="108">
      <x:c r="A108" s="73" t="n">
        <x:v>102</x:v>
      </x:c>
      <x:c r="B108" s="71" t="str">
        <x:v>Holalkere</x:v>
      </x:c>
      <x:c r="C108" s="74" t="str">
        <x:v>SC</x:v>
      </x:c>
      <x:c r="D108" s="71" t="str">
        <x:v>Chitradurga</x:v>
      </x:c>
      <x:c r="E108" s="71" t="str">
        <x:v>M. Chandrappa</x:v>
      </x:c>
      <x:c r="F108" s="74" t="str">
        <x:v>BJP</x:v>
      </x:c>
      <x:c r="G108" s="71" t="str">
        <x:v>Bharatiya Janata Party</x:v>
      </x:c>
      <x:c r="H108" s="76" t="str">
        <x:v>#FF9933</x:v>
      </x:c>
      <x:c r="I108" s="75" t="str"/>
      <x:c r="J108" s="75" t="str">
        <x:v>https://en.wikipedia.org/wiki/Holalkere_(Karnataka_Assembly_constituency)</x:v>
      </x:c>
      <x:c r="K108" s="75" t="str">
        <x:v>https://en.wikipedia.org/wiki/Karnataka_Legislative_Assembly</x:v>
      </x:c>
      <x:c r="L108" s="75" t="str"/>
    </x:row>
    <x:row r="109">
      <x:c r="A109" s="73" t="n">
        <x:v>103</x:v>
      </x:c>
      <x:c r="B109" s="71" t="str">
        <x:v>Jagalur</x:v>
      </x:c>
      <x:c r="C109" s="74" t="str">
        <x:v>ST</x:v>
      </x:c>
      <x:c r="D109" s="71" t="str">
        <x:v>Davanagere</x:v>
      </x:c>
      <x:c r="E109" s="71" t="str">
        <x:v>B. Devendrappa</x:v>
      </x:c>
      <x:c r="F109" s="74" t="str">
        <x:v>INC</x:v>
      </x:c>
      <x:c r="G109" s="71" t="str">
        <x:v>Indian National Congress</x:v>
      </x:c>
      <x:c r="H109" s="77" t="str">
        <x:v>#00BFFF</x:v>
      </x:c>
      <x:c r="I109" s="75" t="str"/>
      <x:c r="J109" s="75" t="str">
        <x:v>https://en.wikipedia.org/wiki/Jagalur_(Karnataka_Assembly_constituency)</x:v>
      </x:c>
      <x:c r="K109" s="75" t="str">
        <x:v>https://en.wikipedia.org/wiki/Karnataka_Legislative_Assembly</x:v>
      </x:c>
      <x:c r="L109" s="75" t="str"/>
    </x:row>
    <x:row r="110">
      <x:c r="A110" s="73" t="n">
        <x:v>104</x:v>
      </x:c>
      <x:c r="B110" s="71" t="str">
        <x:v>Harapanahalli</x:v>
      </x:c>
      <x:c r="C110" s="74" t="str">
        <x:v>GEN</x:v>
      </x:c>
      <x:c r="D110" s="71" t="str">
        <x:v>Vijayanagara</x:v>
      </x:c>
      <x:c r="E110" s="71" t="str">
        <x:v>Latha Mallikarjun</x:v>
      </x:c>
      <x:c r="F110" s="74" t="str">
        <x:v>IND</x:v>
      </x:c>
      <x:c r="G110" s="71" t="str">
        <x:v>Independent</x:v>
      </x:c>
      <x:c r="H110" s="79" t="str">
        <x:v>#DCDCDC</x:v>
      </x:c>
      <x:c r="I110" s="75" t="str">
        <x:v>Joined Congress</x:v>
      </x:c>
      <x:c r="J110" s="75" t="str">
        <x:v>https://en.wikipedia.org/wiki/Harapanahalli_(Karnataka_Assembly_constituency)</x:v>
      </x:c>
      <x:c r="K110" s="75" t="str">
        <x:v>https://en.wikipedia.org/wiki/Karnataka_Legislative_Assembly</x:v>
      </x:c>
      <x:c r="L110" s="75" t="str"/>
    </x:row>
    <x:row r="111">
      <x:c r="A111" s="73" t="n">
        <x:v>105</x:v>
      </x:c>
      <x:c r="B111" s="71" t="str">
        <x:v>Harihar</x:v>
      </x:c>
      <x:c r="C111" s="74" t="str">
        <x:v>GEN</x:v>
      </x:c>
      <x:c r="D111" s="71" t="str">
        <x:v>Davanagere</x:v>
      </x:c>
      <x:c r="E111" s="71" t="str">
        <x:v>B. P. Harish</x:v>
      </x:c>
      <x:c r="F111" s="74" t="str">
        <x:v>BJP</x:v>
      </x:c>
      <x:c r="G111" s="71" t="str">
        <x:v>Bharatiya Janata Party</x:v>
      </x:c>
      <x:c r="H111" s="76" t="str">
        <x:v>#FF9933</x:v>
      </x:c>
      <x:c r="I111" s="75" t="str"/>
      <x:c r="J111" s="75" t="str">
        <x:v>https://en.wikipedia.org/wiki/Harihar_(Karnataka_Assembly_constituency)</x:v>
      </x:c>
      <x:c r="K111" s="75" t="str">
        <x:v>https://en.wikipedia.org/wiki/Karnataka_Legislative_Assembly</x:v>
      </x:c>
      <x:c r="L111" s="75" t="str"/>
    </x:row>
    <x:row r="112">
      <x:c r="A112" s="73" t="n">
        <x:v>106</x:v>
      </x:c>
      <x:c r="B112" s="71" t="str">
        <x:v>Davanagere North</x:v>
      </x:c>
      <x:c r="C112" s="74" t="str">
        <x:v>GEN</x:v>
      </x:c>
      <x:c r="D112" s="71" t="str">
        <x:v>Davanagere</x:v>
      </x:c>
      <x:c r="E112" s="71" t="str">
        <x:v>S. S. Mallikarjun</x:v>
      </x:c>
      <x:c r="F112" s="74" t="str">
        <x:v>INC</x:v>
      </x:c>
      <x:c r="G112" s="71" t="str">
        <x:v>Indian National Congress</x:v>
      </x:c>
      <x:c r="H112" s="77" t="str">
        <x:v>#00BFFF</x:v>
      </x:c>
      <x:c r="I112" s="75" t="str"/>
      <x:c r="J112" s="75" t="str">
        <x:v>https://en.wikipedia.org/wiki/Davanagere_North_(Karnataka_Assembly_constituency)</x:v>
      </x:c>
      <x:c r="K112" s="75" t="str">
        <x:v>https://en.wikipedia.org/wiki/Karnataka_Legislative_Assembly</x:v>
      </x:c>
      <x:c r="L112" s="75" t="str"/>
    </x:row>
    <x:row r="113">
      <x:c r="A113" s="73" t="n">
        <x:v>107</x:v>
      </x:c>
      <x:c r="B113" s="71" t="str">
        <x:v>Davanagere South</x:v>
      </x:c>
      <x:c r="C113" s="74" t="str">
        <x:v>GEN</x:v>
      </x:c>
      <x:c r="D113" s="71" t="str">
        <x:v>Davanagere</x:v>
      </x:c>
      <x:c r="E113" s="71" t="str">
        <x:v>Samarth Shamanur Mallikarjun</x:v>
      </x:c>
      <x:c r="F113" s="74" t="str">
        <x:v>INC</x:v>
      </x:c>
      <x:c r="G113" s="71" t="str">
        <x:v>Indian National Congress</x:v>
      </x:c>
      <x:c r="H113" s="77" t="str">
        <x:v>#00BFFF</x:v>
      </x:c>
      <x:c r="I113" s="75" t="str">
        <x:v>Elected in bypoll</x:v>
      </x:c>
      <x:c r="J113" s="75" t="str">
        <x:v>https://en.wikipedia.org/wiki/Davanagere_South_(Karnataka_Assembly_constituency)</x:v>
      </x:c>
      <x:c r="K113" s="75" t="str">
        <x:v>https://en.wikipedia.org/wiki/Karnataka_Legislative_Assembly</x:v>
      </x:c>
      <x:c r="L113" s="75" t="str">
        <x:v>Shamanur Shivashankarappa (INC) — Died on 14 December 2025</x:v>
      </x:c>
    </x:row>
    <x:row r="114">
      <x:c r="A114" s="73" t="n">
        <x:v>108</x:v>
      </x:c>
      <x:c r="B114" s="71" t="str">
        <x:v>Mayakonda</x:v>
      </x:c>
      <x:c r="C114" s="74" t="str">
        <x:v>SC</x:v>
      </x:c>
      <x:c r="D114" s="71" t="str">
        <x:v>Davanagere</x:v>
      </x:c>
      <x:c r="E114" s="71" t="str">
        <x:v>K. S. Basavanthappa</x:v>
      </x:c>
      <x:c r="F114" s="74" t="str">
        <x:v>INC</x:v>
      </x:c>
      <x:c r="G114" s="71" t="str">
        <x:v>Indian National Congress</x:v>
      </x:c>
      <x:c r="H114" s="77" t="str">
        <x:v>#00BFFF</x:v>
      </x:c>
      <x:c r="I114" s="75" t="str"/>
      <x:c r="J114" s="75" t="str">
        <x:v>https://en.wikipedia.org/wiki/Mayakonda_(Karnataka_Assembly_constituency)</x:v>
      </x:c>
      <x:c r="K114" s="75" t="str">
        <x:v>https://en.wikipedia.org/wiki/Karnataka_Legislative_Assembly</x:v>
      </x:c>
      <x:c r="L114" s="75" t="str"/>
    </x:row>
    <x:row r="115">
      <x:c r="A115" s="73" t="n">
        <x:v>109</x:v>
      </x:c>
      <x:c r="B115" s="71" t="str">
        <x:v>Channagiri</x:v>
      </x:c>
      <x:c r="C115" s="74" t="str">
        <x:v>GEN</x:v>
      </x:c>
      <x:c r="D115" s="71" t="str">
        <x:v>Davanagere</x:v>
      </x:c>
      <x:c r="E115" s="71" t="str">
        <x:v>Basavaraju V. Shivaganga</x:v>
      </x:c>
      <x:c r="F115" s="74" t="str">
        <x:v>INC</x:v>
      </x:c>
      <x:c r="G115" s="71" t="str">
        <x:v>Indian National Congress</x:v>
      </x:c>
      <x:c r="H115" s="77" t="str">
        <x:v>#00BFFF</x:v>
      </x:c>
      <x:c r="I115" s="75" t="str"/>
      <x:c r="J115" s="75" t="str">
        <x:v>https://en.wikipedia.org/wiki/Channagiri_(Karnataka_Assembly_constituency)</x:v>
      </x:c>
      <x:c r="K115" s="75" t="str">
        <x:v>https://en.wikipedia.org/wiki/Karnataka_Legislative_Assembly</x:v>
      </x:c>
      <x:c r="L115" s="75" t="str"/>
    </x:row>
    <x:row r="116">
      <x:c r="A116" s="73" t="n">
        <x:v>110</x:v>
      </x:c>
      <x:c r="B116" s="71" t="str">
        <x:v>Honnali</x:v>
      </x:c>
      <x:c r="C116" s="74" t="str">
        <x:v>GEN</x:v>
      </x:c>
      <x:c r="D116" s="71" t="str">
        <x:v>Davanagere</x:v>
      </x:c>
      <x:c r="E116" s="71" t="str">
        <x:v>A. D. G. Shanthana Gowda</x:v>
      </x:c>
      <x:c r="F116" s="74" t="str">
        <x:v>INC</x:v>
      </x:c>
      <x:c r="G116" s="71" t="str">
        <x:v>Indian National Congress</x:v>
      </x:c>
      <x:c r="H116" s="77" t="str">
        <x:v>#00BFFF</x:v>
      </x:c>
      <x:c r="I116" s="75" t="str"/>
      <x:c r="J116" s="75" t="str">
        <x:v>https://en.wikipedia.org/wiki/Honnali_(Karnataka_Assembly_constituency)</x:v>
      </x:c>
      <x:c r="K116" s="75" t="str">
        <x:v>https://en.wikipedia.org/wiki/Karnataka_Legislative_Assembly</x:v>
      </x:c>
      <x:c r="L116" s="75" t="str"/>
    </x:row>
    <x:row r="117">
      <x:c r="A117" s="73" t="n">
        <x:v>111</x:v>
      </x:c>
      <x:c r="B117" s="71" t="str">
        <x:v>Shimoga Rural</x:v>
      </x:c>
      <x:c r="C117" s="74" t="str">
        <x:v>SC</x:v>
      </x:c>
      <x:c r="D117" s="71" t="str">
        <x:v>Shimoga</x:v>
      </x:c>
      <x:c r="E117" s="71" t="str">
        <x:v>Sharada Puryanaik</x:v>
      </x:c>
      <x:c r="F117" s="74" t="str">
        <x:v>JDS</x:v>
      </x:c>
      <x:c r="G117" s="71" t="str">
        <x:v>Janata Dal (Secular)</x:v>
      </x:c>
      <x:c r="H117" s="78" t="str">
        <x:v>#02865A</x:v>
      </x:c>
      <x:c r="I117" s="75" t="str"/>
      <x:c r="J117" s="75" t="str">
        <x:v>https://en.wikipedia.org/wiki/Shimoga_Rural_(Karnataka_Assembly_constituency)</x:v>
      </x:c>
      <x:c r="K117" s="75" t="str">
        <x:v>https://en.wikipedia.org/wiki/Karnataka_Legislative_Assembly</x:v>
      </x:c>
      <x:c r="L117" s="75" t="str"/>
    </x:row>
    <x:row r="118">
      <x:c r="A118" s="73" t="n">
        <x:v>112</x:v>
      </x:c>
      <x:c r="B118" s="71" t="str">
        <x:v>Bhadravati</x:v>
      </x:c>
      <x:c r="C118" s="74" t="str">
        <x:v>GEN</x:v>
      </x:c>
      <x:c r="D118" s="71" t="str">
        <x:v>Shimoga</x:v>
      </x:c>
      <x:c r="E118" s="71" t="str">
        <x:v>B. K. Sangameshwara</x:v>
      </x:c>
      <x:c r="F118" s="74" t="str">
        <x:v>INC</x:v>
      </x:c>
      <x:c r="G118" s="71" t="str">
        <x:v>Indian National Congress</x:v>
      </x:c>
      <x:c r="H118" s="77" t="str">
        <x:v>#00BFFF</x:v>
      </x:c>
      <x:c r="I118" s="75" t="str"/>
      <x:c r="J118" s="75" t="str">
        <x:v>https://en.wikipedia.org/wiki/Bhadravati_(Karnataka_Assembly_constituency)</x:v>
      </x:c>
      <x:c r="K118" s="75" t="str">
        <x:v>https://en.wikipedia.org/wiki/Karnataka_Legislative_Assembly</x:v>
      </x:c>
      <x:c r="L118" s="75" t="str"/>
    </x:row>
    <x:row r="119">
      <x:c r="A119" s="73" t="n">
        <x:v>113</x:v>
      </x:c>
      <x:c r="B119" s="71" t="str">
        <x:v>Shimoga</x:v>
      </x:c>
      <x:c r="C119" s="74" t="str">
        <x:v>GEN</x:v>
      </x:c>
      <x:c r="D119" s="71" t="str">
        <x:v>Shimoga</x:v>
      </x:c>
      <x:c r="E119" s="71" t="str">
        <x:v>Channabasappa</x:v>
      </x:c>
      <x:c r="F119" s="74" t="str">
        <x:v>BJP</x:v>
      </x:c>
      <x:c r="G119" s="71" t="str">
        <x:v>Bharatiya Janata Party</x:v>
      </x:c>
      <x:c r="H119" s="76" t="str">
        <x:v>#FF9933</x:v>
      </x:c>
      <x:c r="I119" s="75" t="str"/>
      <x:c r="J119" s="75" t="str">
        <x:v>https://en.wikipedia.org/wiki/Shimoga_(Vidhana_Sabha_constituency)</x:v>
      </x:c>
      <x:c r="K119" s="75" t="str">
        <x:v>https://en.wikipedia.org/wiki/Karnataka_Legislative_Assembly</x:v>
      </x:c>
      <x:c r="L119" s="75" t="str"/>
    </x:row>
    <x:row r="120">
      <x:c r="A120" s="73" t="n">
        <x:v>114</x:v>
      </x:c>
      <x:c r="B120" s="71" t="str">
        <x:v>Tirthahalli</x:v>
      </x:c>
      <x:c r="C120" s="74" t="str">
        <x:v>GEN</x:v>
      </x:c>
      <x:c r="D120" s="71" t="str">
        <x:v>Shimoga</x:v>
      </x:c>
      <x:c r="E120" s="71" t="str">
        <x:v>Araga Jnanendra</x:v>
      </x:c>
      <x:c r="F120" s="74" t="str">
        <x:v>BJP</x:v>
      </x:c>
      <x:c r="G120" s="71" t="str">
        <x:v>Bharatiya Janata Party</x:v>
      </x:c>
      <x:c r="H120" s="76" t="str">
        <x:v>#FF9933</x:v>
      </x:c>
      <x:c r="I120" s="75" t="str"/>
      <x:c r="J120" s="75" t="str">
        <x:v>https://en.wikipedia.org/wiki/Tirthahalli_(Karnataka_Assembly_constituency)</x:v>
      </x:c>
      <x:c r="K120" s="75" t="str">
        <x:v>https://en.wikipedia.org/wiki/Karnataka_Legislative_Assembly</x:v>
      </x:c>
      <x:c r="L120" s="75" t="str"/>
    </x:row>
    <x:row r="121">
      <x:c r="A121" s="73" t="n">
        <x:v>115</x:v>
      </x:c>
      <x:c r="B121" s="71" t="str">
        <x:v>Shikaripura</x:v>
      </x:c>
      <x:c r="C121" s="74" t="str">
        <x:v>GEN</x:v>
      </x:c>
      <x:c r="D121" s="71" t="str">
        <x:v>Shimoga</x:v>
      </x:c>
      <x:c r="E121" s="71" t="str">
        <x:v>B. Y. Vijayendra</x:v>
      </x:c>
      <x:c r="F121" s="74" t="str">
        <x:v>BJP</x:v>
      </x:c>
      <x:c r="G121" s="71" t="str">
        <x:v>Bharatiya Janata Party</x:v>
      </x:c>
      <x:c r="H121" s="76" t="str">
        <x:v>#FF9933</x:v>
      </x:c>
      <x:c r="I121" s="75" t="str"/>
      <x:c r="J121" s="75" t="str">
        <x:v>https://en.wikipedia.org/wiki/Shikaripura_(Vidhana_Sabha_constituency)</x:v>
      </x:c>
      <x:c r="K121" s="75" t="str">
        <x:v>https://en.wikipedia.org/wiki/Karnataka_Legislative_Assembly</x:v>
      </x:c>
      <x:c r="L121" s="75" t="str"/>
    </x:row>
    <x:row r="122">
      <x:c r="A122" s="73" t="n">
        <x:v>116</x:v>
      </x:c>
      <x:c r="B122" s="71" t="str">
        <x:v>Sorab</x:v>
      </x:c>
      <x:c r="C122" s="74" t="str">
        <x:v>GEN</x:v>
      </x:c>
      <x:c r="D122" s="71" t="str">
        <x:v>Shimoga</x:v>
      </x:c>
      <x:c r="E122" s="71" t="str">
        <x:v>Madhu Bangarappa</x:v>
      </x:c>
      <x:c r="F122" s="74" t="str">
        <x:v>INC</x:v>
      </x:c>
      <x:c r="G122" s="71" t="str">
        <x:v>Indian National Congress</x:v>
      </x:c>
      <x:c r="H122" s="77" t="str">
        <x:v>#00BFFF</x:v>
      </x:c>
      <x:c r="I122" s="75" t="str"/>
      <x:c r="J122" s="75" t="str">
        <x:v>https://en.wikipedia.org/wiki/Sorab_(Karnataka_Assembly_constituency)</x:v>
      </x:c>
      <x:c r="K122" s="75" t="str">
        <x:v>https://en.wikipedia.org/wiki/Karnataka_Legislative_Assembly</x:v>
      </x:c>
      <x:c r="L122" s="75" t="str"/>
    </x:row>
    <x:row r="123">
      <x:c r="A123" s="73" t="n">
        <x:v>117</x:v>
      </x:c>
      <x:c r="B123" s="71" t="str">
        <x:v>Sagar</x:v>
      </x:c>
      <x:c r="C123" s="74" t="str">
        <x:v>GEN</x:v>
      </x:c>
      <x:c r="D123" s="71" t="str">
        <x:v>Shimoga</x:v>
      </x:c>
      <x:c r="E123" s="71" t="str">
        <x:v>Gopala Krishna Beluru</x:v>
      </x:c>
      <x:c r="F123" s="74" t="str">
        <x:v>INC</x:v>
      </x:c>
      <x:c r="G123" s="71" t="str">
        <x:v>Indian National Congress</x:v>
      </x:c>
      <x:c r="H123" s="77" t="str">
        <x:v>#00BFFF</x:v>
      </x:c>
      <x:c r="I123" s="75" t="str"/>
      <x:c r="J123" s="75" t="str">
        <x:v>https://en.wikipedia.org/wiki/Sagar_(Vidhana_Sabha_constituency)</x:v>
      </x:c>
      <x:c r="K123" s="75" t="str">
        <x:v>https://en.wikipedia.org/wiki/Karnataka_Legislative_Assembly</x:v>
      </x:c>
      <x:c r="L123" s="75" t="str"/>
    </x:row>
    <x:row r="124">
      <x:c r="A124" s="73" t="n">
        <x:v>118</x:v>
      </x:c>
      <x:c r="B124" s="71" t="str">
        <x:v>Byndoor</x:v>
      </x:c>
      <x:c r="C124" s="74" t="str">
        <x:v>GEN</x:v>
      </x:c>
      <x:c r="D124" s="71" t="str">
        <x:v>Udupi</x:v>
      </x:c>
      <x:c r="E124" s="71" t="str">
        <x:v>Gururaj Shetty Gantihole</x:v>
      </x:c>
      <x:c r="F124" s="74" t="str">
        <x:v>BJP</x:v>
      </x:c>
      <x:c r="G124" s="71" t="str">
        <x:v>Bharatiya Janata Party</x:v>
      </x:c>
      <x:c r="H124" s="76" t="str">
        <x:v>#FF9933</x:v>
      </x:c>
      <x:c r="I124" s="75" t="str"/>
      <x:c r="J124" s="75" t="str">
        <x:v>https://en.wikipedia.org/wiki/Byndoor_(Karnataka_Assembly_constituency)</x:v>
      </x:c>
      <x:c r="K124" s="75" t="str">
        <x:v>https://en.wikipedia.org/wiki/Karnataka_Legislative_Assembly</x:v>
      </x:c>
      <x:c r="L124" s="75" t="str"/>
    </x:row>
    <x:row r="125">
      <x:c r="A125" s="73" t="n">
        <x:v>119</x:v>
      </x:c>
      <x:c r="B125" s="71" t="str">
        <x:v>Kundapura</x:v>
      </x:c>
      <x:c r="C125" s="74" t="str">
        <x:v>GEN</x:v>
      </x:c>
      <x:c r="D125" s="71" t="str">
        <x:v>Udupi</x:v>
      </x:c>
      <x:c r="E125" s="71" t="str">
        <x:v>A. Kiran Kumar Kodgi</x:v>
      </x:c>
      <x:c r="F125" s="74" t="str">
        <x:v>BJP</x:v>
      </x:c>
      <x:c r="G125" s="71" t="str">
        <x:v>Bharatiya Janata Party</x:v>
      </x:c>
      <x:c r="H125" s="76" t="str">
        <x:v>#FF9933</x:v>
      </x:c>
      <x:c r="I125" s="75" t="str"/>
      <x:c r="J125" s="75" t="str">
        <x:v>https://en.wikipedia.org/wiki/Kundapura_(Karnataka_Assembly_constituency)</x:v>
      </x:c>
      <x:c r="K125" s="75" t="str">
        <x:v>https://en.wikipedia.org/wiki/Karnataka_Legislative_Assembly</x:v>
      </x:c>
      <x:c r="L125" s="75" t="str"/>
    </x:row>
    <x:row r="126">
      <x:c r="A126" s="73" t="n">
        <x:v>120</x:v>
      </x:c>
      <x:c r="B126" s="71" t="str">
        <x:v>Udupi</x:v>
      </x:c>
      <x:c r="C126" s="74" t="str">
        <x:v>GEN</x:v>
      </x:c>
      <x:c r="D126" s="71" t="str">
        <x:v>Udupi</x:v>
      </x:c>
      <x:c r="E126" s="71" t="str">
        <x:v>Yashpal A. Suvarna</x:v>
      </x:c>
      <x:c r="F126" s="74" t="str">
        <x:v>BJP</x:v>
      </x:c>
      <x:c r="G126" s="71" t="str">
        <x:v>Bharatiya Janata Party</x:v>
      </x:c>
      <x:c r="H126" s="76" t="str">
        <x:v>#FF9933</x:v>
      </x:c>
      <x:c r="I126" s="75" t="str"/>
      <x:c r="J126" s="75" t="str">
        <x:v>https://en.wikipedia.org/wiki/Udupi_(Vidhana_Sabha_constituency)</x:v>
      </x:c>
      <x:c r="K126" s="75" t="str">
        <x:v>https://en.wikipedia.org/wiki/Karnataka_Legislative_Assembly</x:v>
      </x:c>
      <x:c r="L126" s="75" t="str"/>
    </x:row>
    <x:row r="127">
      <x:c r="A127" s="73" t="n">
        <x:v>121</x:v>
      </x:c>
      <x:c r="B127" s="71" t="str">
        <x:v>Kapu</x:v>
      </x:c>
      <x:c r="C127" s="74" t="str">
        <x:v>GEN</x:v>
      </x:c>
      <x:c r="D127" s="71" t="str">
        <x:v>Udupi</x:v>
      </x:c>
      <x:c r="E127" s="71" t="str">
        <x:v>Gurme Suresh Shetty</x:v>
      </x:c>
      <x:c r="F127" s="74" t="str">
        <x:v>BJP</x:v>
      </x:c>
      <x:c r="G127" s="71" t="str">
        <x:v>Bharatiya Janata Party</x:v>
      </x:c>
      <x:c r="H127" s="76" t="str">
        <x:v>#FF9933</x:v>
      </x:c>
      <x:c r="I127" s="75" t="str"/>
      <x:c r="J127" s="75" t="str">
        <x:v>https://en.wikipedia.org/wiki/Kapu_(Karnataka_Assembly_constituency)</x:v>
      </x:c>
      <x:c r="K127" s="75" t="str">
        <x:v>https://en.wikipedia.org/wiki/Karnataka_Legislative_Assembly</x:v>
      </x:c>
      <x:c r="L127" s="75" t="str"/>
    </x:row>
    <x:row r="128">
      <x:c r="A128" s="73" t="n">
        <x:v>122</x:v>
      </x:c>
      <x:c r="B128" s="71" t="str">
        <x:v>Karkala</x:v>
      </x:c>
      <x:c r="C128" s="74" t="str">
        <x:v>GEN</x:v>
      </x:c>
      <x:c r="D128" s="71" t="str">
        <x:v>Udupi</x:v>
      </x:c>
      <x:c r="E128" s="71" t="str">
        <x:v>V. Sunil Kumar</x:v>
      </x:c>
      <x:c r="F128" s="74" t="str">
        <x:v>BJP</x:v>
      </x:c>
      <x:c r="G128" s="71" t="str">
        <x:v>Bharatiya Janata Party</x:v>
      </x:c>
      <x:c r="H128" s="76" t="str">
        <x:v>#FF9933</x:v>
      </x:c>
      <x:c r="I128" s="75" t="str"/>
      <x:c r="J128" s="75" t="str">
        <x:v>https://en.wikipedia.org/wiki/Karkala_(Karnataka_Assembly_constituency)</x:v>
      </x:c>
      <x:c r="K128" s="75" t="str">
        <x:v>https://en.wikipedia.org/wiki/Karnataka_Legislative_Assembly</x:v>
      </x:c>
      <x:c r="L128" s="75" t="str"/>
    </x:row>
    <x:row r="129">
      <x:c r="A129" s="73" t="n">
        <x:v>123</x:v>
      </x:c>
      <x:c r="B129" s="71" t="str">
        <x:v>Sringeri</x:v>
      </x:c>
      <x:c r="C129" s="74" t="str">
        <x:v>GEN</x:v>
      </x:c>
      <x:c r="D129" s="71" t="str">
        <x:v>Chikmagalur</x:v>
      </x:c>
      <x:c r="E129" s="71" t="str">
        <x:v>T. D. Rajegowda</x:v>
      </x:c>
      <x:c r="F129" s="74" t="str">
        <x:v>INC</x:v>
      </x:c>
      <x:c r="G129" s="71" t="str">
        <x:v>Indian National Congress</x:v>
      </x:c>
      <x:c r="H129" s="77" t="str">
        <x:v>#00BFFF</x:v>
      </x:c>
      <x:c r="I129" s="75" t="str"/>
      <x:c r="J129" s="75" t="str">
        <x:v>https://en.wikipedia.org/wiki/Sringeri_(Vidhana_Sabha_constituency)</x:v>
      </x:c>
      <x:c r="K129" s="75" t="str">
        <x:v>https://en.wikipedia.org/wiki/Karnataka_Legislative_Assembly</x:v>
      </x:c>
      <x:c r="L129" s="75" t="str"/>
    </x:row>
    <x:row r="130">
      <x:c r="A130" s="73" t="n">
        <x:v>124</x:v>
      </x:c>
      <x:c r="B130" s="71" t="str">
        <x:v>Mudigere</x:v>
      </x:c>
      <x:c r="C130" s="74" t="str">
        <x:v>SC</x:v>
      </x:c>
      <x:c r="D130" s="71" t="str">
        <x:v>Chikmagalur</x:v>
      </x:c>
      <x:c r="E130" s="71" t="str">
        <x:v>Nayana Motamma</x:v>
      </x:c>
      <x:c r="F130" s="74" t="str">
        <x:v>INC</x:v>
      </x:c>
      <x:c r="G130" s="71" t="str">
        <x:v>Indian National Congress</x:v>
      </x:c>
      <x:c r="H130" s="77" t="str">
        <x:v>#00BFFF</x:v>
      </x:c>
      <x:c r="I130" s="75" t="str"/>
      <x:c r="J130" s="75" t="str">
        <x:v>https://en.wikipedia.org/wiki/Mudigere_(Karnataka_Assembly_constituency)</x:v>
      </x:c>
      <x:c r="K130" s="75" t="str">
        <x:v>https://en.wikipedia.org/wiki/Karnataka_Legislative_Assembly</x:v>
      </x:c>
      <x:c r="L130" s="75" t="str"/>
    </x:row>
    <x:row r="131">
      <x:c r="A131" s="73" t="n">
        <x:v>125</x:v>
      </x:c>
      <x:c r="B131" s="71" t="str">
        <x:v>Chikmagalur</x:v>
      </x:c>
      <x:c r="C131" s="74" t="str">
        <x:v>GEN</x:v>
      </x:c>
      <x:c r="D131" s="71" t="str">
        <x:v>Chikmagalur</x:v>
      </x:c>
      <x:c r="E131" s="71" t="str">
        <x:v>H. D. Thammaiah</x:v>
      </x:c>
      <x:c r="F131" s="74" t="str">
        <x:v>INC</x:v>
      </x:c>
      <x:c r="G131" s="71" t="str">
        <x:v>Indian National Congress</x:v>
      </x:c>
      <x:c r="H131" s="77" t="str">
        <x:v>#00BFFF</x:v>
      </x:c>
      <x:c r="I131" s="75" t="str"/>
      <x:c r="J131" s="75" t="str">
        <x:v>https://en.wikipedia.org/wiki/Chikmagalur_(Vidhana_Sabha_constituency)</x:v>
      </x:c>
      <x:c r="K131" s="75" t="str">
        <x:v>https://en.wikipedia.org/wiki/Karnataka_Legislative_Assembly</x:v>
      </x:c>
      <x:c r="L131" s="75" t="str"/>
    </x:row>
    <x:row r="132">
      <x:c r="A132" s="73" t="n">
        <x:v>126</x:v>
      </x:c>
      <x:c r="B132" s="71" t="str">
        <x:v>Tarikere</x:v>
      </x:c>
      <x:c r="C132" s="74" t="str">
        <x:v>GEN</x:v>
      </x:c>
      <x:c r="D132" s="71" t="str">
        <x:v>Chikmagalur</x:v>
      </x:c>
      <x:c r="E132" s="71" t="str">
        <x:v>G. H. Srinivasa</x:v>
      </x:c>
      <x:c r="F132" s="74" t="str">
        <x:v>INC</x:v>
      </x:c>
      <x:c r="G132" s="71" t="str">
        <x:v>Indian National Congress</x:v>
      </x:c>
      <x:c r="H132" s="77" t="str">
        <x:v>#00BFFF</x:v>
      </x:c>
      <x:c r="I132" s="75" t="str"/>
      <x:c r="J132" s="75" t="str">
        <x:v>https://en.wikipedia.org/wiki/Tarikere_(Karnataka_Assembly_constituency)</x:v>
      </x:c>
      <x:c r="K132" s="75" t="str">
        <x:v>https://en.wikipedia.org/wiki/Karnataka_Legislative_Assembly</x:v>
      </x:c>
      <x:c r="L132" s="75" t="str"/>
    </x:row>
    <x:row r="133">
      <x:c r="A133" s="73" t="n">
        <x:v>127</x:v>
      </x:c>
      <x:c r="B133" s="71" t="str">
        <x:v>Kadur</x:v>
      </x:c>
      <x:c r="C133" s="74" t="str">
        <x:v>GEN</x:v>
      </x:c>
      <x:c r="D133" s="71" t="str">
        <x:v>Chikmagalur</x:v>
      </x:c>
      <x:c r="E133" s="71" t="str">
        <x:v>K. S. Anand</x:v>
      </x:c>
      <x:c r="F133" s="74" t="str">
        <x:v>INC</x:v>
      </x:c>
      <x:c r="G133" s="71" t="str">
        <x:v>Indian National Congress</x:v>
      </x:c>
      <x:c r="H133" s="77" t="str">
        <x:v>#00BFFF</x:v>
      </x:c>
      <x:c r="I133" s="75" t="str"/>
      <x:c r="J133" s="75" t="str">
        <x:v>https://en.wikipedia.org/wiki/Kadur_(Karnataka_Assembly_constituency)</x:v>
      </x:c>
      <x:c r="K133" s="75" t="str">
        <x:v>https://en.wikipedia.org/wiki/Karnataka_Legislative_Assembly</x:v>
      </x:c>
      <x:c r="L133" s="75" t="str"/>
    </x:row>
    <x:row r="134">
      <x:c r="A134" s="73" t="n">
        <x:v>128</x:v>
      </x:c>
      <x:c r="B134" s="71" t="str">
        <x:v>Chiknayakanhalli</x:v>
      </x:c>
      <x:c r="C134" s="74" t="str">
        <x:v>GEN</x:v>
      </x:c>
      <x:c r="D134" s="71" t="str">
        <x:v>Tumakuru</x:v>
      </x:c>
      <x:c r="E134" s="71" t="str">
        <x:v>C. B. Suresh Babu</x:v>
      </x:c>
      <x:c r="F134" s="74" t="str">
        <x:v>JDS</x:v>
      </x:c>
      <x:c r="G134" s="71" t="str">
        <x:v>Janata Dal (Secular)</x:v>
      </x:c>
      <x:c r="H134" s="78" t="str">
        <x:v>#02865A</x:v>
      </x:c>
      <x:c r="I134" s="75" t="str"/>
      <x:c r="J134" s="75" t="str">
        <x:v>https://en.wikipedia.org/wiki/Chikkanayakanahalli_(Vidhana_Sabha_constituency)</x:v>
      </x:c>
      <x:c r="K134" s="75" t="str">
        <x:v>https://en.wikipedia.org/wiki/Karnataka_Legislative_Assembly</x:v>
      </x:c>
      <x:c r="L134" s="75" t="str"/>
    </x:row>
    <x:row r="135">
      <x:c r="A135" s="73" t="n">
        <x:v>129</x:v>
      </x:c>
      <x:c r="B135" s="71" t="str">
        <x:v>Tiptur</x:v>
      </x:c>
      <x:c r="C135" s="74" t="str">
        <x:v>GEN</x:v>
      </x:c>
      <x:c r="D135" s="71" t="str">
        <x:v>Tumakuru</x:v>
      </x:c>
      <x:c r="E135" s="71" t="str">
        <x:v>K. Shadakshari</x:v>
      </x:c>
      <x:c r="F135" s="74" t="str">
        <x:v>INC</x:v>
      </x:c>
      <x:c r="G135" s="71" t="str">
        <x:v>Indian National Congress</x:v>
      </x:c>
      <x:c r="H135" s="77" t="str">
        <x:v>#00BFFF</x:v>
      </x:c>
      <x:c r="I135" s="75" t="str"/>
      <x:c r="J135" s="75" t="str">
        <x:v>https://en.wikipedia.org/wiki/Tiptur_(Vidhana_Sabha_constituency)</x:v>
      </x:c>
      <x:c r="K135" s="75" t="str">
        <x:v>https://en.wikipedia.org/wiki/Karnataka_Legislative_Assembly</x:v>
      </x:c>
      <x:c r="L135" s="75" t="str"/>
    </x:row>
    <x:row r="136">
      <x:c r="A136" s="73" t="n">
        <x:v>130</x:v>
      </x:c>
      <x:c r="B136" s="71" t="str">
        <x:v>Turuvekere</x:v>
      </x:c>
      <x:c r="C136" s="74" t="str">
        <x:v>GEN</x:v>
      </x:c>
      <x:c r="D136" s="71" t="str">
        <x:v>Tumakuru</x:v>
      </x:c>
      <x:c r="E136" s="71" t="str">
        <x:v>M. T. Krishnappa</x:v>
      </x:c>
      <x:c r="F136" s="74" t="str">
        <x:v>JDS</x:v>
      </x:c>
      <x:c r="G136" s="71" t="str">
        <x:v>Janata Dal (Secular)</x:v>
      </x:c>
      <x:c r="H136" s="78" t="str">
        <x:v>#02865A</x:v>
      </x:c>
      <x:c r="I136" s="75" t="str"/>
      <x:c r="J136" s="75" t="str">
        <x:v>https://en.wikipedia.org/wiki/Turuvekere_(Vidhana_Sabha_constituency)</x:v>
      </x:c>
      <x:c r="K136" s="75" t="str">
        <x:v>https://en.wikipedia.org/wiki/Karnataka_Legislative_Assembly</x:v>
      </x:c>
      <x:c r="L136" s="75" t="str"/>
    </x:row>
    <x:row r="137">
      <x:c r="A137" s="73" t="n">
        <x:v>131</x:v>
      </x:c>
      <x:c r="B137" s="71" t="str">
        <x:v>Kunigal</x:v>
      </x:c>
      <x:c r="C137" s="74" t="str">
        <x:v>GEN</x:v>
      </x:c>
      <x:c r="D137" s="71" t="str">
        <x:v>Tumakuru</x:v>
      </x:c>
      <x:c r="E137" s="71" t="str">
        <x:v>H. D. Ranganath</x:v>
      </x:c>
      <x:c r="F137" s="74" t="str">
        <x:v>INC</x:v>
      </x:c>
      <x:c r="G137" s="71" t="str">
        <x:v>Indian National Congress</x:v>
      </x:c>
      <x:c r="H137" s="77" t="str">
        <x:v>#00BFFF</x:v>
      </x:c>
      <x:c r="I137" s="75" t="str"/>
      <x:c r="J137" s="75" t="str">
        <x:v>https://en.wikipedia.org/wiki/Kunigal_(Karnataka_Assembly_constituency)</x:v>
      </x:c>
      <x:c r="K137" s="75" t="str">
        <x:v>https://en.wikipedia.org/wiki/Karnataka_Legislative_Assembly</x:v>
      </x:c>
      <x:c r="L137" s="75" t="str"/>
    </x:row>
    <x:row r="138">
      <x:c r="A138" s="73" t="n">
        <x:v>132</x:v>
      </x:c>
      <x:c r="B138" s="71" t="str">
        <x:v>Tumkur City</x:v>
      </x:c>
      <x:c r="C138" s="74" t="str">
        <x:v>GEN</x:v>
      </x:c>
      <x:c r="D138" s="71" t="str">
        <x:v>Tumakuru</x:v>
      </x:c>
      <x:c r="E138" s="71" t="str">
        <x:v>G. B. Jyothi Ganesh</x:v>
      </x:c>
      <x:c r="F138" s="74" t="str">
        <x:v>BJP</x:v>
      </x:c>
      <x:c r="G138" s="71" t="str">
        <x:v>Bharatiya Janata Party</x:v>
      </x:c>
      <x:c r="H138" s="76" t="str">
        <x:v>#FF9933</x:v>
      </x:c>
      <x:c r="I138" s="75" t="str"/>
      <x:c r="J138" s="75" t="str">
        <x:v>https://en.wikipedia.org/wiki/Tumkur_City_(Vidhana_Sabha_constituency)</x:v>
      </x:c>
      <x:c r="K138" s="75" t="str">
        <x:v>https://en.wikipedia.org/wiki/Karnataka_Legislative_Assembly</x:v>
      </x:c>
      <x:c r="L138" s="75" t="str"/>
    </x:row>
    <x:row r="139">
      <x:c r="A139" s="73" t="n">
        <x:v>133</x:v>
      </x:c>
      <x:c r="B139" s="71" t="str">
        <x:v>Tumkur Rural</x:v>
      </x:c>
      <x:c r="C139" s="74" t="str">
        <x:v>GEN</x:v>
      </x:c>
      <x:c r="D139" s="71" t="str">
        <x:v>Tumakuru</x:v>
      </x:c>
      <x:c r="E139" s="71" t="str">
        <x:v>B. Suresh Gowda</x:v>
      </x:c>
      <x:c r="F139" s="74" t="str">
        <x:v>BJP</x:v>
      </x:c>
      <x:c r="G139" s="71" t="str">
        <x:v>Bharatiya Janata Party</x:v>
      </x:c>
      <x:c r="H139" s="76" t="str">
        <x:v>#FF9933</x:v>
      </x:c>
      <x:c r="I139" s="75" t="str"/>
      <x:c r="J139" s="75" t="str">
        <x:v>https://en.wikipedia.org/wiki/Tumkur_Rural_(Vidhana_Sabha_constituency)</x:v>
      </x:c>
      <x:c r="K139" s="75" t="str">
        <x:v>https://en.wikipedia.org/wiki/Karnataka_Legislative_Assembly</x:v>
      </x:c>
      <x:c r="L139" s="75" t="str"/>
    </x:row>
    <x:row r="140">
      <x:c r="A140" s="73" t="n">
        <x:v>134</x:v>
      </x:c>
      <x:c r="B140" s="71" t="str">
        <x:v>Koratagere</x:v>
      </x:c>
      <x:c r="C140" s="74" t="str">
        <x:v>SC</x:v>
      </x:c>
      <x:c r="D140" s="71" t="str">
        <x:v>Tumakuru</x:v>
      </x:c>
      <x:c r="E140" s="71" t="str">
        <x:v>G. Parameshwara</x:v>
      </x:c>
      <x:c r="F140" s="74" t="str">
        <x:v>INC</x:v>
      </x:c>
      <x:c r="G140" s="71" t="str">
        <x:v>Indian National Congress</x:v>
      </x:c>
      <x:c r="H140" s="77" t="str">
        <x:v>#00BFFF</x:v>
      </x:c>
      <x:c r="I140" s="75" t="str">
        <x:v>Deputy Chief Minister</x:v>
      </x:c>
      <x:c r="J140" s="75" t="str">
        <x:v>https://en.wikipedia.org/wiki/Koratagere_(Vidhana_Sabha_constituency)</x:v>
      </x:c>
      <x:c r="K140" s="75" t="str">
        <x:v>https://en.wikipedia.org/wiki/Karnataka_Legislative_Assembly</x:v>
      </x:c>
      <x:c r="L140" s="75" t="str"/>
    </x:row>
    <x:row r="141">
      <x:c r="A141" s="73" t="n">
        <x:v>135</x:v>
      </x:c>
      <x:c r="B141" s="71" t="str">
        <x:v>Gubbi</x:v>
      </x:c>
      <x:c r="C141" s="74" t="str">
        <x:v>GEN</x:v>
      </x:c>
      <x:c r="D141" s="71" t="str">
        <x:v>Tumakuru</x:v>
      </x:c>
      <x:c r="E141" s="71" t="str">
        <x:v>S. R. Srinivas</x:v>
      </x:c>
      <x:c r="F141" s="74" t="str">
        <x:v>INC</x:v>
      </x:c>
      <x:c r="G141" s="71" t="str">
        <x:v>Indian National Congress</x:v>
      </x:c>
      <x:c r="H141" s="77" t="str">
        <x:v>#00BFFF</x:v>
      </x:c>
      <x:c r="I141" s="75" t="str"/>
      <x:c r="J141" s="75" t="str">
        <x:v>https://en.wikipedia.org/wiki/Gubbi_(Vidhana_Sabha_constituency)</x:v>
      </x:c>
      <x:c r="K141" s="75" t="str">
        <x:v>https://en.wikipedia.org/wiki/Karnataka_Legislative_Assembly</x:v>
      </x:c>
      <x:c r="L141" s="75" t="str"/>
    </x:row>
    <x:row r="142">
      <x:c r="A142" s="73" t="n">
        <x:v>136</x:v>
      </x:c>
      <x:c r="B142" s="71" t="str">
        <x:v>Sira</x:v>
      </x:c>
      <x:c r="C142" s="74" t="str">
        <x:v>GEN</x:v>
      </x:c>
      <x:c r="D142" s="71" t="str">
        <x:v>Tumakuru</x:v>
      </x:c>
      <x:c r="E142" s="71" t="str">
        <x:v>T. B. Jayachandra</x:v>
      </x:c>
      <x:c r="F142" s="74" t="str">
        <x:v>INC</x:v>
      </x:c>
      <x:c r="G142" s="71" t="str">
        <x:v>Indian National Congress</x:v>
      </x:c>
      <x:c r="H142" s="77" t="str">
        <x:v>#00BFFF</x:v>
      </x:c>
      <x:c r="I142" s="75" t="str"/>
      <x:c r="J142" s="75" t="str">
        <x:v>https://en.wikipedia.org/wiki/Sira_(Vidhana_Sabha_constituency)</x:v>
      </x:c>
      <x:c r="K142" s="75" t="str">
        <x:v>https://en.wikipedia.org/wiki/Karnataka_Legislative_Assembly</x:v>
      </x:c>
      <x:c r="L142" s="75" t="str"/>
    </x:row>
    <x:row r="143">
      <x:c r="A143" s="73" t="n">
        <x:v>137</x:v>
      </x:c>
      <x:c r="B143" s="71" t="str">
        <x:v>Pavagada</x:v>
      </x:c>
      <x:c r="C143" s="74" t="str">
        <x:v>SC</x:v>
      </x:c>
      <x:c r="D143" s="71" t="str">
        <x:v>Tumakuru</x:v>
      </x:c>
      <x:c r="E143" s="71" t="str">
        <x:v>H. V. Venkatesh</x:v>
      </x:c>
      <x:c r="F143" s="74" t="str">
        <x:v>INC</x:v>
      </x:c>
      <x:c r="G143" s="71" t="str">
        <x:v>Indian National Congress</x:v>
      </x:c>
      <x:c r="H143" s="77" t="str">
        <x:v>#00BFFF</x:v>
      </x:c>
      <x:c r="I143" s="75" t="str"/>
      <x:c r="J143" s="75" t="str">
        <x:v>https://en.wikipedia.org/wiki/Pavagada_(Vidhana_Sabha_constituency)</x:v>
      </x:c>
      <x:c r="K143" s="75" t="str">
        <x:v>https://en.wikipedia.org/wiki/Karnataka_Legislative_Assembly</x:v>
      </x:c>
      <x:c r="L143" s="75" t="str"/>
    </x:row>
    <x:row r="144">
      <x:c r="A144" s="73" t="n">
        <x:v>138</x:v>
      </x:c>
      <x:c r="B144" s="71" t="str">
        <x:v>Madhugiri</x:v>
      </x:c>
      <x:c r="C144" s="74" t="str">
        <x:v>GEN</x:v>
      </x:c>
      <x:c r="D144" s="71" t="str">
        <x:v>Tumakuru</x:v>
      </x:c>
      <x:c r="E144" s="71" t="str">
        <x:v>K. N. Rajanna</x:v>
      </x:c>
      <x:c r="F144" s="74" t="str">
        <x:v>INC</x:v>
      </x:c>
      <x:c r="G144" s="71" t="str">
        <x:v>Indian National Congress</x:v>
      </x:c>
      <x:c r="H144" s="77" t="str">
        <x:v>#00BFFF</x:v>
      </x:c>
      <x:c r="I144" s="75" t="str"/>
      <x:c r="J144" s="75" t="str">
        <x:v>https://en.wikipedia.org/wiki/Madhugiri_(Vidhana_Sabha_constituency)</x:v>
      </x:c>
      <x:c r="K144" s="75" t="str">
        <x:v>https://en.wikipedia.org/wiki/Karnataka_Legislative_Assembly</x:v>
      </x:c>
      <x:c r="L144" s="75" t="str"/>
    </x:row>
    <x:row r="145">
      <x:c r="A145" s="73" t="n">
        <x:v>139</x:v>
      </x:c>
      <x:c r="B145" s="71" t="str">
        <x:v>Gauribidanur</x:v>
      </x:c>
      <x:c r="C145" s="74" t="str">
        <x:v>GEN</x:v>
      </x:c>
      <x:c r="D145" s="71" t="str">
        <x:v>Chikkaballapura</x:v>
      </x:c>
      <x:c r="E145" s="71" t="str">
        <x:v>K. Puttaswamy Gowda</x:v>
      </x:c>
      <x:c r="F145" s="74" t="str">
        <x:v>IND</x:v>
      </x:c>
      <x:c r="G145" s="71" t="str">
        <x:v>Independent</x:v>
      </x:c>
      <x:c r="H145" s="79" t="str">
        <x:v>#DCDCDC</x:v>
      </x:c>
      <x:c r="I145" s="75" t="str"/>
      <x:c r="J145" s="75" t="str">
        <x:v>https://en.wikipedia.org/wiki/Gauribidanur_(Vidhana_Sabha_constituency)</x:v>
      </x:c>
      <x:c r="K145" s="75" t="str">
        <x:v>https://en.wikipedia.org/wiki/Karnataka_Legislative_Assembly</x:v>
      </x:c>
      <x:c r="L145" s="75" t="str"/>
    </x:row>
    <x:row r="146">
      <x:c r="A146" s="73" t="n">
        <x:v>140</x:v>
      </x:c>
      <x:c r="B146" s="71" t="str">
        <x:v>Bagepalli</x:v>
      </x:c>
      <x:c r="C146" s="74" t="str">
        <x:v>GEN</x:v>
      </x:c>
      <x:c r="D146" s="71" t="str">
        <x:v>Chikkaballapura</x:v>
      </x:c>
      <x:c r="E146" s="71" t="str">
        <x:v>S. N. Subbareddy</x:v>
      </x:c>
      <x:c r="F146" s="74" t="str">
        <x:v>INC</x:v>
      </x:c>
      <x:c r="G146" s="71" t="str">
        <x:v>Indian National Congress</x:v>
      </x:c>
      <x:c r="H146" s="77" t="str">
        <x:v>#00BFFF</x:v>
      </x:c>
      <x:c r="I146" s="75" t="str"/>
      <x:c r="J146" s="75" t="str">
        <x:v>https://en.wikipedia.org/wiki/Bagepalli_(Vidhana_Sabha_constituency)</x:v>
      </x:c>
      <x:c r="K146" s="75" t="str">
        <x:v>https://en.wikipedia.org/wiki/Karnataka_Legislative_Assembly</x:v>
      </x:c>
      <x:c r="L146" s="75" t="str"/>
    </x:row>
    <x:row r="147">
      <x:c r="A147" s="73" t="n">
        <x:v>141</x:v>
      </x:c>
      <x:c r="B147" s="71" t="str">
        <x:v>Chikkaballapur</x:v>
      </x:c>
      <x:c r="C147" s="74" t="str">
        <x:v>GEN</x:v>
      </x:c>
      <x:c r="D147" s="71" t="str">
        <x:v>Chikkaballapura</x:v>
      </x:c>
      <x:c r="E147" s="71" t="str">
        <x:v>Pradeep Eshwar</x:v>
      </x:c>
      <x:c r="F147" s="74" t="str">
        <x:v>INC</x:v>
      </x:c>
      <x:c r="G147" s="71" t="str">
        <x:v>Indian National Congress</x:v>
      </x:c>
      <x:c r="H147" s="77" t="str">
        <x:v>#00BFFF</x:v>
      </x:c>
      <x:c r="I147" s="75" t="str"/>
      <x:c r="J147" s="75" t="str">
        <x:v>https://en.wikipedia.org/wiki/Chikballapur_(Vidhana_Sabha_constituency)</x:v>
      </x:c>
      <x:c r="K147" s="75" t="str">
        <x:v>https://en.wikipedia.org/wiki/Karnataka_Legislative_Assembly</x:v>
      </x:c>
      <x:c r="L147" s="75" t="str"/>
    </x:row>
    <x:row r="148">
      <x:c r="A148" s="73" t="n">
        <x:v>142</x:v>
      </x:c>
      <x:c r="B148" s="71" t="str">
        <x:v>Sidlaghatta</x:v>
      </x:c>
      <x:c r="C148" s="74" t="str">
        <x:v>GEN</x:v>
      </x:c>
      <x:c r="D148" s="71" t="str">
        <x:v>Chikkaballapura</x:v>
      </x:c>
      <x:c r="E148" s="71" t="str">
        <x:v>B. N. Ravi Kumar</x:v>
      </x:c>
      <x:c r="F148" s="74" t="str">
        <x:v>JDS</x:v>
      </x:c>
      <x:c r="G148" s="71" t="str">
        <x:v>Janata Dal (Secular)</x:v>
      </x:c>
      <x:c r="H148" s="78" t="str">
        <x:v>#02865A</x:v>
      </x:c>
      <x:c r="I148" s="75" t="str"/>
      <x:c r="J148" s="75" t="str">
        <x:v>https://en.wikipedia.org/wiki/Sidlaghatta_(Vidhana_Sabha_constituency)</x:v>
      </x:c>
      <x:c r="K148" s="75" t="str">
        <x:v>https://en.wikipedia.org/wiki/Karnataka_Legislative_Assembly</x:v>
      </x:c>
      <x:c r="L148" s="75" t="str"/>
    </x:row>
    <x:row r="149">
      <x:c r="A149" s="73" t="n">
        <x:v>143</x:v>
      </x:c>
      <x:c r="B149" s="71" t="str">
        <x:v>Chintamani</x:v>
      </x:c>
      <x:c r="C149" s="74" t="str">
        <x:v>GEN</x:v>
      </x:c>
      <x:c r="D149" s="71" t="str">
        <x:v>Chikkaballapura</x:v>
      </x:c>
      <x:c r="E149" s="71" t="str">
        <x:v>M. C. Sudhakar</x:v>
      </x:c>
      <x:c r="F149" s="74" t="str">
        <x:v>INC</x:v>
      </x:c>
      <x:c r="G149" s="71" t="str">
        <x:v>Indian National Congress</x:v>
      </x:c>
      <x:c r="H149" s="77" t="str">
        <x:v>#00BFFF</x:v>
      </x:c>
      <x:c r="I149" s="75" t="str">
        <x:v>Cabinet Minister (Second Siddaramaiah ministry)</x:v>
      </x:c>
      <x:c r="J149" s="75" t="str">
        <x:v>https://en.wikipedia.org/wiki/Chintamani_(Vidhana_Sabha_constituency)</x:v>
      </x:c>
      <x:c r="K149" s="75" t="str">
        <x:v>https://en.wikipedia.org/wiki/Karnataka_Legislative_Assembly</x:v>
      </x:c>
      <x:c r="L149" s="75" t="str"/>
    </x:row>
    <x:row r="150">
      <x:c r="A150" s="73" t="n">
        <x:v>144</x:v>
      </x:c>
      <x:c r="B150" s="71" t="str">
        <x:v>Srinivaspur</x:v>
      </x:c>
      <x:c r="C150" s="74" t="str">
        <x:v>GEN</x:v>
      </x:c>
      <x:c r="D150" s="71" t="str">
        <x:v>Kolar</x:v>
      </x:c>
      <x:c r="E150" s="71" t="str">
        <x:v>G. K. Venkatashiva Reddy</x:v>
      </x:c>
      <x:c r="F150" s="74" t="str">
        <x:v>JDS</x:v>
      </x:c>
      <x:c r="G150" s="71" t="str">
        <x:v>Janata Dal (Secular)</x:v>
      </x:c>
      <x:c r="H150" s="78" t="str">
        <x:v>#02865A</x:v>
      </x:c>
      <x:c r="I150" s="75" t="str"/>
      <x:c r="J150" s="75" t="str">
        <x:v>https://en.wikipedia.org/wiki/Srinivasapur_(Vidhana_Sabha_constituency)</x:v>
      </x:c>
      <x:c r="K150" s="75" t="str">
        <x:v>https://en.wikipedia.org/wiki/Karnataka_Legislative_Assembly</x:v>
      </x:c>
      <x:c r="L150" s="75" t="str"/>
    </x:row>
    <x:row r="151">
      <x:c r="A151" s="73" t="n">
        <x:v>145</x:v>
      </x:c>
      <x:c r="B151" s="71" t="str">
        <x:v>Mulbagal</x:v>
      </x:c>
      <x:c r="C151" s="74" t="str">
        <x:v>SC</x:v>
      </x:c>
      <x:c r="D151" s="71" t="str">
        <x:v>Kolar</x:v>
      </x:c>
      <x:c r="E151" s="71" t="str">
        <x:v>Samruddhi V. Manjunath</x:v>
      </x:c>
      <x:c r="F151" s="74" t="str">
        <x:v>JDS</x:v>
      </x:c>
      <x:c r="G151" s="71" t="str">
        <x:v>Janata Dal (Secular)</x:v>
      </x:c>
      <x:c r="H151" s="78" t="str">
        <x:v>#02865A</x:v>
      </x:c>
      <x:c r="I151" s="75" t="str"/>
      <x:c r="J151" s="75" t="str">
        <x:v>https://en.wikipedia.org/wiki/Mulbagal_(Vidhana_Sabha_constituency)</x:v>
      </x:c>
      <x:c r="K151" s="75" t="str">
        <x:v>https://en.wikipedia.org/wiki/Karnataka_Legislative_Assembly</x:v>
      </x:c>
      <x:c r="L151" s="75" t="str"/>
    </x:row>
    <x:row r="152">
      <x:c r="A152" s="73" t="n">
        <x:v>146</x:v>
      </x:c>
      <x:c r="B152" s="71" t="str">
        <x:v>Kolar Gold Field</x:v>
      </x:c>
      <x:c r="C152" s="74" t="str">
        <x:v>SC</x:v>
      </x:c>
      <x:c r="D152" s="71" t="str">
        <x:v>Kolar</x:v>
      </x:c>
      <x:c r="E152" s="71" t="str">
        <x:v>M. Roopakala</x:v>
      </x:c>
      <x:c r="F152" s="74" t="str">
        <x:v>INC</x:v>
      </x:c>
      <x:c r="G152" s="71" t="str">
        <x:v>Indian National Congress</x:v>
      </x:c>
      <x:c r="H152" s="77" t="str">
        <x:v>#00BFFF</x:v>
      </x:c>
      <x:c r="I152" s="75" t="str"/>
      <x:c r="J152" s="75" t="str">
        <x:v>https://en.wikipedia.org/wiki/Kolar_Gold_Field_(Vidhan_Sabha_constituency)</x:v>
      </x:c>
      <x:c r="K152" s="75" t="str">
        <x:v>https://en.wikipedia.org/wiki/Karnataka_Legislative_Assembly</x:v>
      </x:c>
      <x:c r="L152" s="75" t="str"/>
    </x:row>
    <x:row r="153">
      <x:c r="A153" s="73" t="n">
        <x:v>147</x:v>
      </x:c>
      <x:c r="B153" s="71" t="str">
        <x:v>Bangarapet</x:v>
      </x:c>
      <x:c r="C153" s="74" t="str">
        <x:v>SC</x:v>
      </x:c>
      <x:c r="D153" s="71" t="str">
        <x:v>Kolar</x:v>
      </x:c>
      <x:c r="E153" s="71" t="str">
        <x:v>S. N. Narayanaswamy</x:v>
      </x:c>
      <x:c r="F153" s="74" t="str">
        <x:v>INC</x:v>
      </x:c>
      <x:c r="G153" s="71" t="str">
        <x:v>Indian National Congress</x:v>
      </x:c>
      <x:c r="H153" s="77" t="str">
        <x:v>#00BFFF</x:v>
      </x:c>
      <x:c r="I153" s="75" t="str"/>
      <x:c r="J153" s="75" t="str">
        <x:v>https://en.wikipedia.org/wiki/Bangarapet_(Vidhana_Sabha_constituency)</x:v>
      </x:c>
      <x:c r="K153" s="75" t="str">
        <x:v>https://en.wikipedia.org/wiki/Karnataka_Legislative_Assembly</x:v>
      </x:c>
      <x:c r="L153" s="75" t="str"/>
    </x:row>
    <x:row r="154">
      <x:c r="A154" s="73" t="n">
        <x:v>148</x:v>
      </x:c>
      <x:c r="B154" s="71" t="str">
        <x:v>Kolar</x:v>
      </x:c>
      <x:c r="C154" s="74" t="str">
        <x:v>GEN</x:v>
      </x:c>
      <x:c r="D154" s="71" t="str">
        <x:v>Kolar</x:v>
      </x:c>
      <x:c r="E154" s="71" t="str">
        <x:v>Kothur G. Manjunath</x:v>
      </x:c>
      <x:c r="F154" s="74" t="str">
        <x:v>INC</x:v>
      </x:c>
      <x:c r="G154" s="71" t="str">
        <x:v>Indian National Congress</x:v>
      </x:c>
      <x:c r="H154" s="77" t="str">
        <x:v>#00BFFF</x:v>
      </x:c>
      <x:c r="I154" s="75" t="str"/>
      <x:c r="J154" s="75" t="str">
        <x:v>https://en.wikipedia.org/wiki/Kolar_(Vidhana_Sabha_constituency)</x:v>
      </x:c>
      <x:c r="K154" s="75" t="str">
        <x:v>https://en.wikipedia.org/wiki/Karnataka_Legislative_Assembly</x:v>
      </x:c>
      <x:c r="L154" s="75" t="str"/>
    </x:row>
    <x:row r="155">
      <x:c r="A155" s="73" t="n">
        <x:v>149</x:v>
      </x:c>
      <x:c r="B155" s="71" t="str">
        <x:v>Malur</x:v>
      </x:c>
      <x:c r="C155" s="74" t="str">
        <x:v>GEN</x:v>
      </x:c>
      <x:c r="D155" s="71" t="str">
        <x:v>Kolar</x:v>
      </x:c>
      <x:c r="E155" s="71" t="str">
        <x:v>K. Y. Nanjegowda</x:v>
      </x:c>
      <x:c r="F155" s="74" t="str">
        <x:v>INC</x:v>
      </x:c>
      <x:c r="G155" s="71" t="str">
        <x:v>Indian National Congress</x:v>
      </x:c>
      <x:c r="H155" s="77" t="str">
        <x:v>#00BFFF</x:v>
      </x:c>
      <x:c r="I155" s="75" t="str"/>
      <x:c r="J155" s="75" t="str">
        <x:v>https://en.wikipedia.org/wiki/Malur_(Vidhana_Sabha_constituency)</x:v>
      </x:c>
      <x:c r="K155" s="75" t="str">
        <x:v>https://en.wikipedia.org/wiki/Karnataka_Legislative_Assembly</x:v>
      </x:c>
      <x:c r="L155" s="75" t="str"/>
    </x:row>
    <x:row r="156">
      <x:c r="A156" s="73" t="n">
        <x:v>150</x:v>
      </x:c>
      <x:c r="B156" s="71" t="str">
        <x:v>Yelahanka</x:v>
      </x:c>
      <x:c r="C156" s="74" t="str">
        <x:v>GEN</x:v>
      </x:c>
      <x:c r="D156" s="71" t="str">
        <x:v>Bangalore Urban</x:v>
      </x:c>
      <x:c r="E156" s="71" t="str">
        <x:v>S. R. Vishwanath</x:v>
      </x:c>
      <x:c r="F156" s="74" t="str">
        <x:v>BJP</x:v>
      </x:c>
      <x:c r="G156" s="71" t="str">
        <x:v>Bharatiya Janata Party</x:v>
      </x:c>
      <x:c r="H156" s="76" t="str">
        <x:v>#FF9933</x:v>
      </x:c>
      <x:c r="I156" s="75" t="str"/>
      <x:c r="J156" s="75" t="str">
        <x:v>https://en.wikipedia.org/wiki/Yelahanka_(Vidhana_Sabha_constituency)</x:v>
      </x:c>
      <x:c r="K156" s="75" t="str">
        <x:v>https://en.wikipedia.org/wiki/Karnataka_Legislative_Assembly</x:v>
      </x:c>
      <x:c r="L156" s="75" t="str"/>
    </x:row>
    <x:row r="157">
      <x:c r="A157" s="73" t="n">
        <x:v>151</x:v>
      </x:c>
      <x:c r="B157" s="71" t="str">
        <x:v>Krishnarajapuram</x:v>
      </x:c>
      <x:c r="C157" s="74" t="str">
        <x:v>GEN</x:v>
      </x:c>
      <x:c r="D157" s="71" t="str">
        <x:v>Bangalore Urban</x:v>
      </x:c>
      <x:c r="E157" s="71" t="str">
        <x:v>B.A. Basavaraja</x:v>
      </x:c>
      <x:c r="F157" s="74" t="str">
        <x:v>BJP</x:v>
      </x:c>
      <x:c r="G157" s="71" t="str">
        <x:v>Bharatiya Janata Party</x:v>
      </x:c>
      <x:c r="H157" s="76" t="str">
        <x:v>#FF9933</x:v>
      </x:c>
      <x:c r="I157" s="75" t="str"/>
      <x:c r="J157" s="75" t="str">
        <x:v>https://en.wikipedia.org/wiki/Krishnarajapuram_(Vidhana_Sabha_constituency)</x:v>
      </x:c>
      <x:c r="K157" s="75" t="str">
        <x:v>https://en.wikipedia.org/wiki/Karnataka_Legislative_Assembly</x:v>
      </x:c>
      <x:c r="L157" s="75" t="str"/>
    </x:row>
    <x:row r="158">
      <x:c r="A158" s="73" t="n">
        <x:v>152</x:v>
      </x:c>
      <x:c r="B158" s="71" t="str">
        <x:v>Byatarayanapura</x:v>
      </x:c>
      <x:c r="C158" s="74" t="str">
        <x:v>GEN</x:v>
      </x:c>
      <x:c r="D158" s="71" t="str">
        <x:v>Bangalore Urban</x:v>
      </x:c>
      <x:c r="E158" s="71" t="str">
        <x:v>Krishna Byregowda</x:v>
      </x:c>
      <x:c r="F158" s="74" t="str">
        <x:v>INC</x:v>
      </x:c>
      <x:c r="G158" s="71" t="str">
        <x:v>Indian National Congress</x:v>
      </x:c>
      <x:c r="H158" s="77" t="str">
        <x:v>#00BFFF</x:v>
      </x:c>
      <x:c r="I158" s="75" t="str">
        <x:v>Cabinet Minister (Shivakumar ministry)</x:v>
      </x:c>
      <x:c r="J158" s="75" t="str">
        <x:v>https://en.wikipedia.org/wiki/Byatarayanapura_(Vidhana_Sabha_constituency)</x:v>
      </x:c>
      <x:c r="K158" s="75" t="str">
        <x:v>https://en.wikipedia.org/wiki/Karnataka_Legislative_Assembly</x:v>
      </x:c>
      <x:c r="L158" s="75" t="str"/>
    </x:row>
    <x:row r="159">
      <x:c r="A159" s="73" t="n">
        <x:v>153</x:v>
      </x:c>
      <x:c r="B159" s="71" t="str">
        <x:v>Yeshwantpur</x:v>
      </x:c>
      <x:c r="C159" s="74" t="str">
        <x:v>GEN</x:v>
      </x:c>
      <x:c r="D159" s="71" t="str">
        <x:v>Bangalore Urban</x:v>
      </x:c>
      <x:c r="E159" s="71" t="str">
        <x:v>S.T. Somashekar</x:v>
      </x:c>
      <x:c r="F159" s="74" t="str">
        <x:v>IND</x:v>
      </x:c>
      <x:c r="G159" s="71" t="str">
        <x:v>Independent</x:v>
      </x:c>
      <x:c r="H159" s="79" t="str">
        <x:v>#DCDCDC</x:v>
      </x:c>
      <x:c r="I159" s="75" t="str">
        <x:v>Expelled from Bharatiya Janata Party</x:v>
      </x:c>
      <x:c r="J159" s="75" t="str">
        <x:v>https://en.wikipedia.org/wiki/Yeshvanthapura_(Vidhana_Sabha_constituency)</x:v>
      </x:c>
      <x:c r="K159" s="75" t="str">
        <x:v>https://en.wikipedia.org/wiki/Karnataka_Legislative_Assembly</x:v>
      </x:c>
      <x:c r="L159" s="75" t="str"/>
    </x:row>
    <x:row r="160">
      <x:c r="A160" s="73" t="n">
        <x:v>154</x:v>
      </x:c>
      <x:c r="B160" s="71" t="str">
        <x:v>Rajarajeshwarinagar</x:v>
      </x:c>
      <x:c r="C160" s="74" t="str">
        <x:v>GEN</x:v>
      </x:c>
      <x:c r="D160" s="71" t="str">
        <x:v>Bangalore Urban</x:v>
      </x:c>
      <x:c r="E160" s="71" t="str">
        <x:v>Munirathna</x:v>
      </x:c>
      <x:c r="F160" s="74" t="str">
        <x:v>BJP</x:v>
      </x:c>
      <x:c r="G160" s="71" t="str">
        <x:v>Bharatiya Janata Party</x:v>
      </x:c>
      <x:c r="H160" s="76" t="str">
        <x:v>#FF9933</x:v>
      </x:c>
      <x:c r="I160" s="75" t="str"/>
      <x:c r="J160" s="75" t="str">
        <x:v>https://en.wikipedia.org/wiki/Rajarajeshwarinagar_(Vidhana_Sabha_constituency)</x:v>
      </x:c>
      <x:c r="K160" s="75" t="str">
        <x:v>https://en.wikipedia.org/wiki/Karnataka_Legislative_Assembly</x:v>
      </x:c>
      <x:c r="L160" s="75" t="str"/>
    </x:row>
    <x:row r="161">
      <x:c r="A161" s="73" t="n">
        <x:v>155</x:v>
      </x:c>
      <x:c r="B161" s="71" t="str">
        <x:v>Dasarahalli</x:v>
      </x:c>
      <x:c r="C161" s="74" t="str">
        <x:v>GEN</x:v>
      </x:c>
      <x:c r="D161" s="71" t="str">
        <x:v>Bangalore Urban</x:v>
      </x:c>
      <x:c r="E161" s="71" t="str">
        <x:v>S. Muniraju</x:v>
      </x:c>
      <x:c r="F161" s="74" t="str">
        <x:v>BJP</x:v>
      </x:c>
      <x:c r="G161" s="71" t="str">
        <x:v>Bharatiya Janata Party</x:v>
      </x:c>
      <x:c r="H161" s="76" t="str">
        <x:v>#FF9933</x:v>
      </x:c>
      <x:c r="I161" s="75" t="str"/>
      <x:c r="J161" s="75" t="str">
        <x:v>https://en.wikipedia.org/wiki/Dasarahalli_(Vidhana_Sabha_constituency)</x:v>
      </x:c>
      <x:c r="K161" s="75" t="str">
        <x:v>https://en.wikipedia.org/wiki/Karnataka_Legislative_Assembly</x:v>
      </x:c>
      <x:c r="L161" s="75" t="str"/>
    </x:row>
    <x:row r="162">
      <x:c r="A162" s="73" t="n">
        <x:v>156</x:v>
      </x:c>
      <x:c r="B162" s="71" t="str">
        <x:v>Mahalakshmi Layout</x:v>
      </x:c>
      <x:c r="C162" s="74" t="str">
        <x:v>GEN</x:v>
      </x:c>
      <x:c r="D162" s="71" t="str">
        <x:v>Bangalore Urban</x:v>
      </x:c>
      <x:c r="E162" s="71" t="str">
        <x:v>K. Gopalaiah</x:v>
      </x:c>
      <x:c r="F162" s="74" t="str">
        <x:v>BJP</x:v>
      </x:c>
      <x:c r="G162" s="71" t="str">
        <x:v>Bharatiya Janata Party</x:v>
      </x:c>
      <x:c r="H162" s="76" t="str">
        <x:v>#FF9933</x:v>
      </x:c>
      <x:c r="I162" s="75" t="str"/>
      <x:c r="J162" s="75" t="str">
        <x:v>https://en.wikipedia.org/wiki/Mahalakshmi_Layout_(Vidhana_Sabha_constituency)</x:v>
      </x:c>
      <x:c r="K162" s="75" t="str">
        <x:v>https://en.wikipedia.org/wiki/Karnataka_Legislative_Assembly</x:v>
      </x:c>
      <x:c r="L162" s="75" t="str"/>
    </x:row>
    <x:row r="163">
      <x:c r="A163" s="73" t="n">
        <x:v>157</x:v>
      </x:c>
      <x:c r="B163" s="71" t="str">
        <x:v>Malleshwaram</x:v>
      </x:c>
      <x:c r="C163" s="74" t="str">
        <x:v>GEN</x:v>
      </x:c>
      <x:c r="D163" s="71" t="str">
        <x:v>Bangalore Urban</x:v>
      </x:c>
      <x:c r="E163" s="71" t="str">
        <x:v>C.N. Ashwath Narayan</x:v>
      </x:c>
      <x:c r="F163" s="74" t="str">
        <x:v>BJP</x:v>
      </x:c>
      <x:c r="G163" s="71" t="str">
        <x:v>Bharatiya Janata Party</x:v>
      </x:c>
      <x:c r="H163" s="76" t="str">
        <x:v>#FF9933</x:v>
      </x:c>
      <x:c r="I163" s="75" t="str"/>
      <x:c r="J163" s="75" t="str">
        <x:v>https://en.wikipedia.org/wiki/Malleshwaram_(Vidhana_Sabha_constituency)</x:v>
      </x:c>
      <x:c r="K163" s="75" t="str">
        <x:v>https://en.wikipedia.org/wiki/Karnataka_Legislative_Assembly</x:v>
      </x:c>
      <x:c r="L163" s="75" t="str"/>
    </x:row>
    <x:row r="164">
      <x:c r="A164" s="73" t="n">
        <x:v>158</x:v>
      </x:c>
      <x:c r="B164" s="71" t="str">
        <x:v>Hebbal</x:v>
      </x:c>
      <x:c r="C164" s="74" t="str">
        <x:v>GEN</x:v>
      </x:c>
      <x:c r="D164" s="71" t="str">
        <x:v>Bangalore Urban</x:v>
      </x:c>
      <x:c r="E164" s="71" t="str">
        <x:v>Suresha B.S.</x:v>
      </x:c>
      <x:c r="F164" s="74" t="str">
        <x:v>INC</x:v>
      </x:c>
      <x:c r="G164" s="71" t="str">
        <x:v>Indian National Congress</x:v>
      </x:c>
      <x:c r="H164" s="77" t="str">
        <x:v>#00BFFF</x:v>
      </x:c>
      <x:c r="I164" s="75" t="str">
        <x:v>Cabinet Minister (Shivakumar ministry)</x:v>
      </x:c>
      <x:c r="J164" s="75" t="str">
        <x:v>https://en.wikipedia.org/wiki/Hebbal_(Vidhana_Sabha_constituency)</x:v>
      </x:c>
      <x:c r="K164" s="75" t="str">
        <x:v>https://en.wikipedia.org/wiki/Karnataka_Legislative_Assembly</x:v>
      </x:c>
      <x:c r="L164" s="75" t="str"/>
    </x:row>
    <x:row r="165">
      <x:c r="A165" s="73" t="n">
        <x:v>159</x:v>
      </x:c>
      <x:c r="B165" s="71" t="str">
        <x:v>Pulakeshinagar</x:v>
      </x:c>
      <x:c r="C165" s="74" t="str">
        <x:v>SC</x:v>
      </x:c>
      <x:c r="D165" s="71" t="str">
        <x:v>Bangalore Urban</x:v>
      </x:c>
      <x:c r="E165" s="71" t="str">
        <x:v>A.C. Srinivasa</x:v>
      </x:c>
      <x:c r="F165" s="74" t="str">
        <x:v>INC</x:v>
      </x:c>
      <x:c r="G165" s="71" t="str">
        <x:v>Indian National Congress</x:v>
      </x:c>
      <x:c r="H165" s="77" t="str">
        <x:v>#00BFFF</x:v>
      </x:c>
      <x:c r="I165" s="75" t="str"/>
      <x:c r="J165" s="75" t="str">
        <x:v>https://en.wikipedia.org/wiki/Pulakeshinagar_(Vidhana_Sabha_constituency)</x:v>
      </x:c>
      <x:c r="K165" s="75" t="str">
        <x:v>https://en.wikipedia.org/wiki/Karnataka_Legislative_Assembly</x:v>
      </x:c>
      <x:c r="L165" s="75" t="str"/>
    </x:row>
    <x:row r="166">
      <x:c r="A166" s="73" t="n">
        <x:v>160</x:v>
      </x:c>
      <x:c r="B166" s="71" t="str">
        <x:v>Sarvagnanagar</x:v>
      </x:c>
      <x:c r="C166" s="74" t="str">
        <x:v>GEN</x:v>
      </x:c>
      <x:c r="D166" s="71" t="str">
        <x:v>Bangalore Urban</x:v>
      </x:c>
      <x:c r="E166" s="71" t="str">
        <x:v>K.J. George</x:v>
      </x:c>
      <x:c r="F166" s="74" t="str">
        <x:v>INC</x:v>
      </x:c>
      <x:c r="G166" s="71" t="str">
        <x:v>Indian National Congress</x:v>
      </x:c>
      <x:c r="H166" s="77" t="str">
        <x:v>#00BFFF</x:v>
      </x:c>
      <x:c r="I166" s="75" t="str">
        <x:v>Cabinet Minister (Shivakumar ministry)</x:v>
      </x:c>
      <x:c r="J166" s="75" t="str">
        <x:v>https://en.wikipedia.org/wiki/Sarvagnanagar_(Vidhana_Sabha_constituency)</x:v>
      </x:c>
      <x:c r="K166" s="75" t="str">
        <x:v>https://en.wikipedia.org/wiki/Karnataka_Legislative_Assembly</x:v>
      </x:c>
      <x:c r="L166" s="75" t="str"/>
    </x:row>
    <x:row r="167">
      <x:c r="A167" s="73" t="n">
        <x:v>161</x:v>
      </x:c>
      <x:c r="B167" s="71" t="str">
        <x:v>C. V. Raman Nagar</x:v>
      </x:c>
      <x:c r="C167" s="74" t="str">
        <x:v>SC</x:v>
      </x:c>
      <x:c r="D167" s="71" t="str">
        <x:v>Bangalore Urban</x:v>
      </x:c>
      <x:c r="E167" s="71" t="str">
        <x:v>S. Raghu</x:v>
      </x:c>
      <x:c r="F167" s="74" t="str">
        <x:v>BJP</x:v>
      </x:c>
      <x:c r="G167" s="71" t="str">
        <x:v>Bharatiya Janata Party</x:v>
      </x:c>
      <x:c r="H167" s="76" t="str">
        <x:v>#FF9933</x:v>
      </x:c>
      <x:c r="I167" s="75" t="str"/>
      <x:c r="J167" s="75" t="str">
        <x:v>https://en.wikipedia.org/wiki/C._V._Raman_Nagar_(Vidhana_Sabha_constituency)</x:v>
      </x:c>
      <x:c r="K167" s="75" t="str">
        <x:v>https://en.wikipedia.org/wiki/Karnataka_Legislative_Assembly</x:v>
      </x:c>
      <x:c r="L167" s="75" t="str"/>
    </x:row>
    <x:row r="168">
      <x:c r="A168" s="73" t="n">
        <x:v>162</x:v>
      </x:c>
      <x:c r="B168" s="71" t="str">
        <x:v>Shivajinagar</x:v>
      </x:c>
      <x:c r="C168" s="74" t="str">
        <x:v>GEN</x:v>
      </x:c>
      <x:c r="D168" s="71" t="str">
        <x:v>Bangalore Urban</x:v>
      </x:c>
      <x:c r="E168" s="71" t="str">
        <x:v>Rizwan Arshad</x:v>
      </x:c>
      <x:c r="F168" s="74" t="str">
        <x:v>INC</x:v>
      </x:c>
      <x:c r="G168" s="71" t="str">
        <x:v>Indian National Congress</x:v>
      </x:c>
      <x:c r="H168" s="77" t="str">
        <x:v>#00BFFF</x:v>
      </x:c>
      <x:c r="I168" s="75" t="str"/>
      <x:c r="J168" s="75" t="str">
        <x:v>https://en.wikipedia.org/wiki/Shivajinagar,_Karnataka_Assembly_constituency</x:v>
      </x:c>
      <x:c r="K168" s="75" t="str">
        <x:v>https://en.wikipedia.org/wiki/Karnataka_Legislative_Assembly</x:v>
      </x:c>
      <x:c r="L168" s="75" t="str"/>
    </x:row>
    <x:row r="169">
      <x:c r="A169" s="73" t="n">
        <x:v>163</x:v>
      </x:c>
      <x:c r="B169" s="71" t="str">
        <x:v>Shanti Nagar</x:v>
      </x:c>
      <x:c r="C169" s="74" t="str">
        <x:v>GEN</x:v>
      </x:c>
      <x:c r="D169" s="71" t="str">
        <x:v>Bangalore Urban</x:v>
      </x:c>
      <x:c r="E169" s="71" t="str">
        <x:v>N.A. Haris</x:v>
      </x:c>
      <x:c r="F169" s="74" t="str">
        <x:v>INC</x:v>
      </x:c>
      <x:c r="G169" s="71" t="str">
        <x:v>Indian National Congress</x:v>
      </x:c>
      <x:c r="H169" s="77" t="str">
        <x:v>#00BFFF</x:v>
      </x:c>
      <x:c r="I169" s="75" t="str"/>
      <x:c r="J169" s="75" t="str">
        <x:v>https://en.wikipedia.org/wiki/Shanti_Nagar_(Vidhana_Sabha_constituency)</x:v>
      </x:c>
      <x:c r="K169" s="75" t="str">
        <x:v>https://en.wikipedia.org/wiki/Karnataka_Legislative_Assembly</x:v>
      </x:c>
      <x:c r="L169" s="75" t="str"/>
    </x:row>
    <x:row r="170">
      <x:c r="A170" s="73" t="n">
        <x:v>164</x:v>
      </x:c>
      <x:c r="B170" s="71" t="str">
        <x:v>Gandhi Nagar</x:v>
      </x:c>
      <x:c r="C170" s="74" t="str">
        <x:v>GEN</x:v>
      </x:c>
      <x:c r="D170" s="71" t="str">
        <x:v>Bangalore Urban</x:v>
      </x:c>
      <x:c r="E170" s="71" t="str">
        <x:v>Dinesh Gundu Rao</x:v>
      </x:c>
      <x:c r="F170" s="74" t="str">
        <x:v>INC</x:v>
      </x:c>
      <x:c r="G170" s="71" t="str">
        <x:v>Indian National Congress</x:v>
      </x:c>
      <x:c r="H170" s="77" t="str">
        <x:v>#00BFFF</x:v>
      </x:c>
      <x:c r="I170" s="75" t="str"/>
      <x:c r="J170" s="75" t="str">
        <x:v>https://en.wikipedia.org/wiki/Gandhi_Nagar,_Karnataka_Assembly_constituency</x:v>
      </x:c>
      <x:c r="K170" s="75" t="str">
        <x:v>https://en.wikipedia.org/wiki/Karnataka_Legislative_Assembly</x:v>
      </x:c>
      <x:c r="L170" s="75" t="str"/>
    </x:row>
    <x:row r="171">
      <x:c r="A171" s="73" t="n">
        <x:v>165</x:v>
      </x:c>
      <x:c r="B171" s="71" t="str">
        <x:v>Rajaji Nagar</x:v>
      </x:c>
      <x:c r="C171" s="74" t="str">
        <x:v>GEN</x:v>
      </x:c>
      <x:c r="D171" s="71" t="str">
        <x:v>Bangalore Urban</x:v>
      </x:c>
      <x:c r="E171" s="71" t="str">
        <x:v>S. Suresh Kumar</x:v>
      </x:c>
      <x:c r="F171" s="74" t="str">
        <x:v>BJP</x:v>
      </x:c>
      <x:c r="G171" s="71" t="str">
        <x:v>Bharatiya Janata Party</x:v>
      </x:c>
      <x:c r="H171" s="76" t="str">
        <x:v>#FF9933</x:v>
      </x:c>
      <x:c r="I171" s="75" t="str"/>
      <x:c r="J171" s="75" t="str">
        <x:v>https://en.wikipedia.org/wiki/Rajaji_Nagar_(Vidhan_Sabha_constituency)</x:v>
      </x:c>
      <x:c r="K171" s="75" t="str">
        <x:v>https://en.wikipedia.org/wiki/Karnataka_Legislative_Assembly</x:v>
      </x:c>
      <x:c r="L171" s="75" t="str"/>
    </x:row>
    <x:row r="172">
      <x:c r="A172" s="73" t="n">
        <x:v>166</x:v>
      </x:c>
      <x:c r="B172" s="71" t="str">
        <x:v>Govindraj Nagar</x:v>
      </x:c>
      <x:c r="C172" s="74" t="str">
        <x:v>GEN</x:v>
      </x:c>
      <x:c r="D172" s="71" t="str">
        <x:v>Bangalore Urban</x:v>
      </x:c>
      <x:c r="E172" s="71" t="str">
        <x:v>Priya Krishna</x:v>
      </x:c>
      <x:c r="F172" s="74" t="str">
        <x:v>INC</x:v>
      </x:c>
      <x:c r="G172" s="71" t="str">
        <x:v>Indian National Congress</x:v>
      </x:c>
      <x:c r="H172" s="77" t="str">
        <x:v>#00BFFF</x:v>
      </x:c>
      <x:c r="I172" s="75" t="str"/>
      <x:c r="J172" s="75" t="str">
        <x:v>https://en.wikipedia.org/wiki/Govindraj_Nagar_(Vidhana_Sabha_constituency)</x:v>
      </x:c>
      <x:c r="K172" s="75" t="str">
        <x:v>https://en.wikipedia.org/wiki/Karnataka_Legislative_Assembly</x:v>
      </x:c>
      <x:c r="L172" s="75" t="str"/>
    </x:row>
    <x:row r="173">
      <x:c r="A173" s="73" t="n">
        <x:v>167</x:v>
      </x:c>
      <x:c r="B173" s="71" t="str">
        <x:v>Vijay Nagar</x:v>
      </x:c>
      <x:c r="C173" s="74" t="str">
        <x:v>GEN</x:v>
      </x:c>
      <x:c r="D173" s="71" t="str">
        <x:v>Bangalore Urban</x:v>
      </x:c>
      <x:c r="E173" s="71" t="str">
        <x:v>M. Krishnappa</x:v>
      </x:c>
      <x:c r="F173" s="74" t="str">
        <x:v>INC</x:v>
      </x:c>
      <x:c r="G173" s="71" t="str">
        <x:v>Indian National Congress</x:v>
      </x:c>
      <x:c r="H173" s="77" t="str">
        <x:v>#00BFFF</x:v>
      </x:c>
      <x:c r="I173" s="75" t="str"/>
      <x:c r="J173" s="75" t="str">
        <x:v>https://en.wikipedia.org/wiki/Vijay_Nagar_(Vidhana_Sabha_constituency)</x:v>
      </x:c>
      <x:c r="K173" s="75" t="str">
        <x:v>https://en.wikipedia.org/wiki/Karnataka_Legislative_Assembly</x:v>
      </x:c>
      <x:c r="L173" s="75" t="str"/>
    </x:row>
    <x:row r="174">
      <x:c r="A174" s="73" t="n">
        <x:v>168</x:v>
      </x:c>
      <x:c r="B174" s="71" t="str">
        <x:v>Chamrajpet</x:v>
      </x:c>
      <x:c r="C174" s="74" t="str">
        <x:v>GEN</x:v>
      </x:c>
      <x:c r="D174" s="71" t="str">
        <x:v>Bangalore Urban</x:v>
      </x:c>
      <x:c r="E174" s="71" t="str">
        <x:v>B.Z. Zameer Ahmed Khan</x:v>
      </x:c>
      <x:c r="F174" s="74" t="str">
        <x:v>INC</x:v>
      </x:c>
      <x:c r="G174" s="71" t="str">
        <x:v>Indian National Congress</x:v>
      </x:c>
      <x:c r="H174" s="77" t="str">
        <x:v>#00BFFF</x:v>
      </x:c>
      <x:c r="I174" s="75" t="str">
        <x:v>Cabinet Minister (Second Siddaramaiah ministry)</x:v>
      </x:c>
      <x:c r="J174" s="75" t="str">
        <x:v>https://en.wikipedia.org/wiki/Chamrajpet_(Vidhana_Sabha_constituency)</x:v>
      </x:c>
      <x:c r="K174" s="75" t="str">
        <x:v>https://en.wikipedia.org/wiki/Karnataka_Legislative_Assembly</x:v>
      </x:c>
      <x:c r="L174" s="75" t="str"/>
    </x:row>
    <x:row r="175">
      <x:c r="A175" s="73" t="n">
        <x:v>169</x:v>
      </x:c>
      <x:c r="B175" s="71" t="str">
        <x:v>Chickpet</x:v>
      </x:c>
      <x:c r="C175" s="74" t="str">
        <x:v>GEN</x:v>
      </x:c>
      <x:c r="D175" s="71" t="str">
        <x:v>Bangalore Urban</x:v>
      </x:c>
      <x:c r="E175" s="71" t="str">
        <x:v>Uday B. Garudachar</x:v>
      </x:c>
      <x:c r="F175" s="74" t="str">
        <x:v>BJP</x:v>
      </x:c>
      <x:c r="G175" s="71" t="str">
        <x:v>Bharatiya Janata Party</x:v>
      </x:c>
      <x:c r="H175" s="76" t="str">
        <x:v>#FF9933</x:v>
      </x:c>
      <x:c r="I175" s="75" t="str"/>
      <x:c r="J175" s="75" t="str">
        <x:v>https://en.wikipedia.org/wiki/Chickpet_(Vidhana_Sabha_constituency)</x:v>
      </x:c>
      <x:c r="K175" s="75" t="str">
        <x:v>https://en.wikipedia.org/wiki/Karnataka_Legislative_Assembly</x:v>
      </x:c>
      <x:c r="L175" s="75" t="str"/>
    </x:row>
    <x:row r="176">
      <x:c r="A176" s="73" t="n">
        <x:v>170</x:v>
      </x:c>
      <x:c r="B176" s="71" t="str">
        <x:v>Basavanagudi</x:v>
      </x:c>
      <x:c r="C176" s="74" t="str">
        <x:v>GEN</x:v>
      </x:c>
      <x:c r="D176" s="71" t="str">
        <x:v>Bangalore Urban</x:v>
      </x:c>
      <x:c r="E176" s="71" t="str">
        <x:v>Ravi Subramanya L.A.</x:v>
      </x:c>
      <x:c r="F176" s="74" t="str">
        <x:v>BJP</x:v>
      </x:c>
      <x:c r="G176" s="71" t="str">
        <x:v>Bharatiya Janata Party</x:v>
      </x:c>
      <x:c r="H176" s="76" t="str">
        <x:v>#FF9933</x:v>
      </x:c>
      <x:c r="I176" s="75" t="str"/>
      <x:c r="J176" s="75" t="str">
        <x:v>https://en.wikipedia.org/wiki/Basavanagudi_(Vidhana_Sabha_constituency)</x:v>
      </x:c>
      <x:c r="K176" s="75" t="str">
        <x:v>https://en.wikipedia.org/wiki/Karnataka_Legislative_Assembly</x:v>
      </x:c>
      <x:c r="L176" s="75" t="str"/>
    </x:row>
    <x:row r="177">
      <x:c r="A177" s="73" t="n">
        <x:v>171</x:v>
      </x:c>
      <x:c r="B177" s="71" t="str">
        <x:v>Padmanabhanagar</x:v>
      </x:c>
      <x:c r="C177" s="74" t="str">
        <x:v>GEN</x:v>
      </x:c>
      <x:c r="D177" s="71" t="str">
        <x:v>Bangalore Urban</x:v>
      </x:c>
      <x:c r="E177" s="71" t="str">
        <x:v>R. Ashoka</x:v>
      </x:c>
      <x:c r="F177" s="74" t="str">
        <x:v>BJP</x:v>
      </x:c>
      <x:c r="G177" s="71" t="str">
        <x:v>Bharatiya Janata Party</x:v>
      </x:c>
      <x:c r="H177" s="76" t="str">
        <x:v>#FF9933</x:v>
      </x:c>
      <x:c r="I177" s="75" t="str">
        <x:v>Leader of the Opposition</x:v>
      </x:c>
      <x:c r="J177" s="75" t="str">
        <x:v>https://en.wikipedia.org/wiki/Padmanaba_Nagar_(Vidhan_Sabha_constituency)</x:v>
      </x:c>
      <x:c r="K177" s="75" t="str">
        <x:v>https://en.wikipedia.org/wiki/Karnataka_Legislative_Assembly</x:v>
      </x:c>
      <x:c r="L177" s="75" t="str"/>
    </x:row>
    <x:row r="178">
      <x:c r="A178" s="73" t="n">
        <x:v>172</x:v>
      </x:c>
      <x:c r="B178" s="71" t="str">
        <x:v>B.T.M. Layout</x:v>
      </x:c>
      <x:c r="C178" s="74" t="str">
        <x:v>GEN</x:v>
      </x:c>
      <x:c r="D178" s="71" t="str">
        <x:v>Bangalore Urban</x:v>
      </x:c>
      <x:c r="E178" s="71" t="str">
        <x:v>Ramalinga Reddy</x:v>
      </x:c>
      <x:c r="F178" s="74" t="str">
        <x:v>INC</x:v>
      </x:c>
      <x:c r="G178" s="71" t="str">
        <x:v>Indian National Congress</x:v>
      </x:c>
      <x:c r="H178" s="77" t="str">
        <x:v>#00BFFF</x:v>
      </x:c>
      <x:c r="I178" s="75" t="str">
        <x:v>Cabinet Minister (Shivakumar ministry)</x:v>
      </x:c>
      <x:c r="J178" s="75" t="str">
        <x:v>https://en.wikipedia.org/wiki/B.T.M_Layout_(Vidhana_Sabha_constituency)</x:v>
      </x:c>
      <x:c r="K178" s="75" t="str">
        <x:v>https://en.wikipedia.org/wiki/Karnataka_Legislative_Assembly</x:v>
      </x:c>
      <x:c r="L178" s="75" t="str"/>
    </x:row>
    <x:row r="179">
      <x:c r="A179" s="73" t="n">
        <x:v>173</x:v>
      </x:c>
      <x:c r="B179" s="71" t="str">
        <x:v>Jayanagar</x:v>
      </x:c>
      <x:c r="C179" s="74" t="str">
        <x:v>GEN</x:v>
      </x:c>
      <x:c r="D179" s="71" t="str">
        <x:v>Bangalore Urban</x:v>
      </x:c>
      <x:c r="E179" s="71" t="str">
        <x:v>C. K. Ramamurthy</x:v>
      </x:c>
      <x:c r="F179" s="74" t="str">
        <x:v>BJP</x:v>
      </x:c>
      <x:c r="G179" s="71" t="str">
        <x:v>Bharatiya Janata Party</x:v>
      </x:c>
      <x:c r="H179" s="76" t="str">
        <x:v>#FF9933</x:v>
      </x:c>
      <x:c r="I179" s="75" t="str"/>
      <x:c r="J179" s="75" t="str">
        <x:v>https://en.wikipedia.org/wiki/Jayanagar_(Vidhana_Sabha_constituency)</x:v>
      </x:c>
      <x:c r="K179" s="75" t="str">
        <x:v>https://en.wikipedia.org/wiki/Karnataka_Legislative_Assembly</x:v>
      </x:c>
      <x:c r="L179" s="75" t="str"/>
    </x:row>
    <x:row r="180">
      <x:c r="A180" s="73" t="n">
        <x:v>174</x:v>
      </x:c>
      <x:c r="B180" s="71" t="str">
        <x:v>Mahadevapura</x:v>
      </x:c>
      <x:c r="C180" s="74" t="str">
        <x:v>SC</x:v>
      </x:c>
      <x:c r="D180" s="71" t="str">
        <x:v>Bangalore Urban</x:v>
      </x:c>
      <x:c r="E180" s="71" t="str">
        <x:v>Manjula S.</x:v>
      </x:c>
      <x:c r="F180" s="74" t="str">
        <x:v>BJP</x:v>
      </x:c>
      <x:c r="G180" s="71" t="str">
        <x:v>Bharatiya Janata Party</x:v>
      </x:c>
      <x:c r="H180" s="76" t="str">
        <x:v>#FF9933</x:v>
      </x:c>
      <x:c r="I180" s="75" t="str"/>
      <x:c r="J180" s="75" t="str">
        <x:v>https://en.wikipedia.org/wiki/Mahadevapura_(Vidhana_Sabha_constituency)</x:v>
      </x:c>
      <x:c r="K180" s="75" t="str">
        <x:v>https://en.wikipedia.org/wiki/Karnataka_Legislative_Assembly</x:v>
      </x:c>
      <x:c r="L180" s="75" t="str"/>
    </x:row>
    <x:row r="181">
      <x:c r="A181" s="73" t="n">
        <x:v>175</x:v>
      </x:c>
      <x:c r="B181" s="71" t="str">
        <x:v>Bommanahalli</x:v>
      </x:c>
      <x:c r="C181" s="74" t="str">
        <x:v>GEN</x:v>
      </x:c>
      <x:c r="D181" s="71" t="str">
        <x:v>Bangalore Urban</x:v>
      </x:c>
      <x:c r="E181" s="71" t="str">
        <x:v>Satish Reddy M.</x:v>
      </x:c>
      <x:c r="F181" s="74" t="str">
        <x:v>BJP</x:v>
      </x:c>
      <x:c r="G181" s="71" t="str">
        <x:v>Bharatiya Janata Party</x:v>
      </x:c>
      <x:c r="H181" s="76" t="str">
        <x:v>#FF9933</x:v>
      </x:c>
      <x:c r="I181" s="75" t="str"/>
      <x:c r="J181" s="75" t="str">
        <x:v>https://en.wikipedia.org/wiki/Bommanahalli_(Vidhana_Sabha_constituency)</x:v>
      </x:c>
      <x:c r="K181" s="75" t="str">
        <x:v>https://en.wikipedia.org/wiki/Karnataka_Legislative_Assembly</x:v>
      </x:c>
      <x:c r="L181" s="75" t="str"/>
    </x:row>
    <x:row r="182">
      <x:c r="A182" s="73" t="n">
        <x:v>176</x:v>
      </x:c>
      <x:c r="B182" s="71" t="str">
        <x:v>Bangalore South</x:v>
      </x:c>
      <x:c r="C182" s="74" t="str">
        <x:v>GEN</x:v>
      </x:c>
      <x:c r="D182" s="71" t="str">
        <x:v>Bangalore Urban</x:v>
      </x:c>
      <x:c r="E182" s="71" t="str">
        <x:v>M. Krishnappa</x:v>
      </x:c>
      <x:c r="F182" s="74" t="str">
        <x:v>BJP</x:v>
      </x:c>
      <x:c r="G182" s="71" t="str">
        <x:v>Bharatiya Janata Party</x:v>
      </x:c>
      <x:c r="H182" s="76" t="str">
        <x:v>#FF9933</x:v>
      </x:c>
      <x:c r="I182" s="75" t="str"/>
      <x:c r="J182" s="75" t="str">
        <x:v>https://en.wikipedia.org/wiki/Bangalore_South_(Vidhana_Sabha_constituency)</x:v>
      </x:c>
      <x:c r="K182" s="75" t="str">
        <x:v>https://en.wikipedia.org/wiki/Karnataka_Legislative_Assembly</x:v>
      </x:c>
      <x:c r="L182" s="75" t="str"/>
    </x:row>
    <x:row r="183">
      <x:c r="A183" s="73" t="n">
        <x:v>177</x:v>
      </x:c>
      <x:c r="B183" s="71" t="str">
        <x:v>Anekal</x:v>
      </x:c>
      <x:c r="C183" s="74" t="str">
        <x:v>SC</x:v>
      </x:c>
      <x:c r="D183" s="71" t="str">
        <x:v>Bangalore Urban</x:v>
      </x:c>
      <x:c r="E183" s="71" t="str">
        <x:v>B. Shivanna</x:v>
      </x:c>
      <x:c r="F183" s="74" t="str">
        <x:v>INC</x:v>
      </x:c>
      <x:c r="G183" s="71" t="str">
        <x:v>Indian National Congress</x:v>
      </x:c>
      <x:c r="H183" s="77" t="str">
        <x:v>#00BFFF</x:v>
      </x:c>
      <x:c r="I183" s="75" t="str"/>
      <x:c r="J183" s="75" t="str">
        <x:v>https://en.wikipedia.org/wiki/Anekal_(Vidhana_Sabha_constituency)</x:v>
      </x:c>
      <x:c r="K183" s="75" t="str">
        <x:v>https://en.wikipedia.org/wiki/Karnataka_Legislative_Assembly</x:v>
      </x:c>
      <x:c r="L183" s="75" t="str"/>
    </x:row>
    <x:row r="184">
      <x:c r="A184" s="73" t="n">
        <x:v>178</x:v>
      </x:c>
      <x:c r="B184" s="71" t="str">
        <x:v>Hoskote</x:v>
      </x:c>
      <x:c r="C184" s="74" t="str">
        <x:v>GEN</x:v>
      </x:c>
      <x:c r="D184" s="71" t="str">
        <x:v>Bangalore Rural</x:v>
      </x:c>
      <x:c r="E184" s="71" t="str">
        <x:v>Sharath Kumar Bache Gowda</x:v>
      </x:c>
      <x:c r="F184" s="74" t="str">
        <x:v>INC</x:v>
      </x:c>
      <x:c r="G184" s="71" t="str">
        <x:v>Indian National Congress</x:v>
      </x:c>
      <x:c r="H184" s="77" t="str">
        <x:v>#00BFFF</x:v>
      </x:c>
      <x:c r="I184" s="75" t="str"/>
      <x:c r="J184" s="75" t="str">
        <x:v>https://en.wikipedia.org/wiki/Hosakote_(Vidhana_Sabha_constituency)</x:v>
      </x:c>
      <x:c r="K184" s="75" t="str">
        <x:v>https://en.wikipedia.org/wiki/Karnataka_Legislative_Assembly</x:v>
      </x:c>
      <x:c r="L184" s="75" t="str"/>
    </x:row>
    <x:row r="185">
      <x:c r="A185" s="73" t="n">
        <x:v>179</x:v>
      </x:c>
      <x:c r="B185" s="71" t="str">
        <x:v>Devanahalli</x:v>
      </x:c>
      <x:c r="C185" s="74" t="str">
        <x:v>SC</x:v>
      </x:c>
      <x:c r="D185" s="71" t="str">
        <x:v>Bangalore Rural</x:v>
      </x:c>
      <x:c r="E185" s="71" t="str">
        <x:v>K. H. Muniyappa</x:v>
      </x:c>
      <x:c r="F185" s="74" t="str">
        <x:v>INC</x:v>
      </x:c>
      <x:c r="G185" s="71" t="str">
        <x:v>Indian National Congress</x:v>
      </x:c>
      <x:c r="H185" s="77" t="str">
        <x:v>#00BFFF</x:v>
      </x:c>
      <x:c r="I185" s="75" t="str">
        <x:v>Cabinet Minister (Shivakumar ministry)</x:v>
      </x:c>
      <x:c r="J185" s="75" t="str">
        <x:v>https://en.wikipedia.org/wiki/Devanahalli_(Vidhana_Sabha_constituency)</x:v>
      </x:c>
      <x:c r="K185" s="75" t="str">
        <x:v>https://en.wikipedia.org/wiki/Karnataka_Legislative_Assembly</x:v>
      </x:c>
      <x:c r="L185" s="75" t="str"/>
    </x:row>
    <x:row r="186">
      <x:c r="A186" s="73" t="n">
        <x:v>180</x:v>
      </x:c>
      <x:c r="B186" s="71" t="str">
        <x:v>Doddaballapur</x:v>
      </x:c>
      <x:c r="C186" s="74" t="str">
        <x:v>GEN</x:v>
      </x:c>
      <x:c r="D186" s="71" t="str">
        <x:v>Bangalore Rural</x:v>
      </x:c>
      <x:c r="E186" s="71" t="str">
        <x:v>Dheeraj Muniraj</x:v>
      </x:c>
      <x:c r="F186" s="74" t="str">
        <x:v>BJP</x:v>
      </x:c>
      <x:c r="G186" s="71" t="str">
        <x:v>Bharatiya Janata Party</x:v>
      </x:c>
      <x:c r="H186" s="76" t="str">
        <x:v>#FF9933</x:v>
      </x:c>
      <x:c r="I186" s="75" t="str"/>
      <x:c r="J186" s="75" t="str">
        <x:v>https://en.wikipedia.org/wiki/Doddaballapur_(Vidhana_Sabha_constituency)</x:v>
      </x:c>
      <x:c r="K186" s="75" t="str">
        <x:v>https://en.wikipedia.org/wiki/Karnataka_Legislative_Assembly</x:v>
      </x:c>
      <x:c r="L186" s="75" t="str"/>
    </x:row>
    <x:row r="187">
      <x:c r="A187" s="73" t="n">
        <x:v>181</x:v>
      </x:c>
      <x:c r="B187" s="71" t="str">
        <x:v>Nelamangala</x:v>
      </x:c>
      <x:c r="C187" s="74" t="str">
        <x:v>SC</x:v>
      </x:c>
      <x:c r="D187" s="71" t="str">
        <x:v>Bangalore Rural</x:v>
      </x:c>
      <x:c r="E187" s="71" t="str">
        <x:v>N. Shreenivasaiah</x:v>
      </x:c>
      <x:c r="F187" s="74" t="str">
        <x:v>INC</x:v>
      </x:c>
      <x:c r="G187" s="71" t="str">
        <x:v>Indian National Congress</x:v>
      </x:c>
      <x:c r="H187" s="77" t="str">
        <x:v>#00BFFF</x:v>
      </x:c>
      <x:c r="I187" s="75" t="str"/>
      <x:c r="J187" s="75" t="str">
        <x:v>https://en.wikipedia.org/wiki/Nelamangala_(Vidhana_Sabha_constituency)</x:v>
      </x:c>
      <x:c r="K187" s="75" t="str">
        <x:v>https://en.wikipedia.org/wiki/Karnataka_Legislative_Assembly</x:v>
      </x:c>
      <x:c r="L187" s="75" t="str"/>
    </x:row>
    <x:row r="188">
      <x:c r="A188" s="73" t="n">
        <x:v>182</x:v>
      </x:c>
      <x:c r="B188" s="71" t="str">
        <x:v>Magadi</x:v>
      </x:c>
      <x:c r="C188" s="74" t="str">
        <x:v>GEN</x:v>
      </x:c>
      <x:c r="D188" s="71" t="str">
        <x:v>Ramanagara</x:v>
      </x:c>
      <x:c r="E188" s="71" t="str">
        <x:v>H. C. Balakrishna</x:v>
      </x:c>
      <x:c r="F188" s="74" t="str">
        <x:v>INC</x:v>
      </x:c>
      <x:c r="G188" s="71" t="str">
        <x:v>Indian National Congress</x:v>
      </x:c>
      <x:c r="H188" s="77" t="str">
        <x:v>#00BFFF</x:v>
      </x:c>
      <x:c r="I188" s="75" t="str"/>
      <x:c r="J188" s="75" t="str">
        <x:v>https://en.wikipedia.org/wiki/Magadi_(Vidhana_Sabha_constituency)</x:v>
      </x:c>
      <x:c r="K188" s="75" t="str">
        <x:v>https://en.wikipedia.org/wiki/Karnataka_Legislative_Assembly</x:v>
      </x:c>
      <x:c r="L188" s="75" t="str"/>
    </x:row>
    <x:row r="189">
      <x:c r="A189" s="73" t="n">
        <x:v>183</x:v>
      </x:c>
      <x:c r="B189" s="71" t="str">
        <x:v>Ramanagara</x:v>
      </x:c>
      <x:c r="C189" s="74" t="str">
        <x:v>GEN</x:v>
      </x:c>
      <x:c r="D189" s="71" t="str">
        <x:v>Ramanagara</x:v>
      </x:c>
      <x:c r="E189" s="71" t="str">
        <x:v>H. A. Iqbal Hussain</x:v>
      </x:c>
      <x:c r="F189" s="74" t="str">
        <x:v>INC</x:v>
      </x:c>
      <x:c r="G189" s="71" t="str">
        <x:v>Indian National Congress</x:v>
      </x:c>
      <x:c r="H189" s="77" t="str">
        <x:v>#00BFFF</x:v>
      </x:c>
      <x:c r="I189" s="75" t="str"/>
      <x:c r="J189" s="75" t="str">
        <x:v>https://en.wikipedia.org/wiki/Ramanagara_(Vidhana_Sabha_constituency)</x:v>
      </x:c>
      <x:c r="K189" s="75" t="str">
        <x:v>https://en.wikipedia.org/wiki/Karnataka_Legislative_Assembly</x:v>
      </x:c>
      <x:c r="L189" s="75" t="str"/>
    </x:row>
    <x:row r="190">
      <x:c r="A190" s="73" t="n">
        <x:v>184</x:v>
      </x:c>
      <x:c r="B190" s="71" t="str">
        <x:v>Kanakapura</x:v>
      </x:c>
      <x:c r="C190" s="74" t="str">
        <x:v>GEN</x:v>
      </x:c>
      <x:c r="D190" s="71" t="str">
        <x:v>Ramanagara</x:v>
      </x:c>
      <x:c r="E190" s="71" t="str">
        <x:v>D.K. Shivakumar</x:v>
      </x:c>
      <x:c r="F190" s="74" t="str">
        <x:v>INC</x:v>
      </x:c>
      <x:c r="G190" s="71" t="str">
        <x:v>Indian National Congress</x:v>
      </x:c>
      <x:c r="H190" s="77" t="str">
        <x:v>#00BFFF</x:v>
      </x:c>
      <x:c r="I190" s="75" t="str">
        <x:v>Chief Minister</x:v>
      </x:c>
      <x:c r="J190" s="75" t="str">
        <x:v>https://en.wikipedia.org/wiki/Kanakapura_(Vidhana_Sabha_constituency)</x:v>
      </x:c>
      <x:c r="K190" s="75" t="str">
        <x:v>https://en.wikipedia.org/wiki/Karnataka_Legislative_Assembly</x:v>
      </x:c>
      <x:c r="L190" s="75" t="str"/>
    </x:row>
    <x:row r="191">
      <x:c r="A191" s="73" t="n">
        <x:v>185</x:v>
      </x:c>
      <x:c r="B191" s="71" t="str">
        <x:v>Channapatna</x:v>
      </x:c>
      <x:c r="C191" s="74" t="str">
        <x:v>GEN</x:v>
      </x:c>
      <x:c r="D191" s="71" t="str">
        <x:v>Ramanagara</x:v>
      </x:c>
      <x:c r="E191" s="71" t="str">
        <x:v>C. P. Yogeshwar</x:v>
      </x:c>
      <x:c r="F191" s="74" t="str">
        <x:v>INC</x:v>
      </x:c>
      <x:c r="G191" s="71" t="str">
        <x:v>Indian National Congress</x:v>
      </x:c>
      <x:c r="H191" s="77" t="str">
        <x:v>#00BFFF</x:v>
      </x:c>
      <x:c r="I191" s="75" t="str">
        <x:v>Elected on 23 November 2024</x:v>
      </x:c>
      <x:c r="J191" s="75" t="str">
        <x:v>https://en.wikipedia.org/wiki/Channapatna_(Vidhana_Sabha_constituency)</x:v>
      </x:c>
      <x:c r="K191" s="75" t="str">
        <x:v>https://en.wikipedia.org/wiki/Karnataka_Legislative_Assembly</x:v>
      </x:c>
      <x:c r="L191" s="75" t="str">
        <x:v>H. D. Kumaraswamy (JD(S)) — Elected to Lok Sabha on 4 June 2024</x:v>
      </x:c>
    </x:row>
    <x:row r="192">
      <x:c r="A192" s="73" t="n">
        <x:v>186</x:v>
      </x:c>
      <x:c r="B192" s="71" t="str">
        <x:v>Malavalli</x:v>
      </x:c>
      <x:c r="C192" s="74" t="str">
        <x:v>SC</x:v>
      </x:c>
      <x:c r="D192" s="71" t="str">
        <x:v>Mandya</x:v>
      </x:c>
      <x:c r="E192" s="71" t="str">
        <x:v>P. M. Narendraswamy</x:v>
      </x:c>
      <x:c r="F192" s="74" t="str">
        <x:v>INC</x:v>
      </x:c>
      <x:c r="G192" s="71" t="str">
        <x:v>Indian National Congress</x:v>
      </x:c>
      <x:c r="H192" s="77" t="str">
        <x:v>#00BFFF</x:v>
      </x:c>
      <x:c r="I192" s="75" t="str"/>
      <x:c r="J192" s="75" t="str">
        <x:v>https://en.wikipedia.org/wiki/Malavalli_(Vidhana_Sabha_constituency)</x:v>
      </x:c>
      <x:c r="K192" s="75" t="str">
        <x:v>https://en.wikipedia.org/wiki/Karnataka_Legislative_Assembly</x:v>
      </x:c>
      <x:c r="L192" s="75" t="str"/>
    </x:row>
    <x:row r="193">
      <x:c r="A193" s="73" t="n">
        <x:v>187</x:v>
      </x:c>
      <x:c r="B193" s="71" t="str">
        <x:v>Maddur</x:v>
      </x:c>
      <x:c r="C193" s="74" t="str">
        <x:v>GEN</x:v>
      </x:c>
      <x:c r="D193" s="71" t="str">
        <x:v>Mandya</x:v>
      </x:c>
      <x:c r="E193" s="71" t="str">
        <x:v>K. M. Udaya</x:v>
      </x:c>
      <x:c r="F193" s="74" t="str">
        <x:v>INC</x:v>
      </x:c>
      <x:c r="G193" s="71" t="str">
        <x:v>Indian National Congress</x:v>
      </x:c>
      <x:c r="H193" s="77" t="str">
        <x:v>#00BFFF</x:v>
      </x:c>
      <x:c r="I193" s="75" t="str"/>
      <x:c r="J193" s="75" t="str">
        <x:v>https://en.wikipedia.org/wiki/Maddur_(Vidhana_Sabha_constituency)</x:v>
      </x:c>
      <x:c r="K193" s="75" t="str">
        <x:v>https://en.wikipedia.org/wiki/Karnataka_Legislative_Assembly</x:v>
      </x:c>
      <x:c r="L193" s="75" t="str"/>
    </x:row>
    <x:row r="194">
      <x:c r="A194" s="73" t="n">
        <x:v>188</x:v>
      </x:c>
      <x:c r="B194" s="71" t="str">
        <x:v>Melukote</x:v>
      </x:c>
      <x:c r="C194" s="74" t="str">
        <x:v>GEN</x:v>
      </x:c>
      <x:c r="D194" s="71" t="str">
        <x:v>Mandya</x:v>
      </x:c>
      <x:c r="E194" s="71" t="str">
        <x:v>Darshan Puttannaiah</x:v>
      </x:c>
      <x:c r="F194" s="74" t="str">
        <x:v>SKP</x:v>
      </x:c>
      <x:c r="G194" s="71" t="str">
        <x:v>Sarvodaya Karnataka Paksha</x:v>
      </x:c>
      <x:c r="H194" s="81" t="str">
        <x:v>#FFFF00</x:v>
      </x:c>
      <x:c r="I194" s="75" t="str"/>
      <x:c r="J194" s="75" t="str">
        <x:v>https://en.wikipedia.org/wiki/Melukote_(Karnataka_Assembly_constituency)</x:v>
      </x:c>
      <x:c r="K194" s="75" t="str">
        <x:v>https://en.wikipedia.org/wiki/Karnataka_Legislative_Assembly</x:v>
      </x:c>
      <x:c r="L194" s="75" t="str"/>
    </x:row>
    <x:row r="195">
      <x:c r="A195" s="73" t="n">
        <x:v>189</x:v>
      </x:c>
      <x:c r="B195" s="71" t="str">
        <x:v>Mandya</x:v>
      </x:c>
      <x:c r="C195" s="74" t="str">
        <x:v>GEN</x:v>
      </x:c>
      <x:c r="D195" s="71" t="str">
        <x:v>Mandya</x:v>
      </x:c>
      <x:c r="E195" s="71" t="str">
        <x:v>Ravikumar Gowda</x:v>
      </x:c>
      <x:c r="F195" s="74" t="str">
        <x:v>INC</x:v>
      </x:c>
      <x:c r="G195" s="71" t="str">
        <x:v>Indian National Congress</x:v>
      </x:c>
      <x:c r="H195" s="77" t="str">
        <x:v>#00BFFF</x:v>
      </x:c>
      <x:c r="I195" s="75" t="str"/>
      <x:c r="J195" s="75" t="str">
        <x:v>https://en.wikipedia.org/wiki/Mandya_(Vidhan_Sabha_constituency)</x:v>
      </x:c>
      <x:c r="K195" s="75" t="str">
        <x:v>https://en.wikipedia.org/wiki/Karnataka_Legislative_Assembly</x:v>
      </x:c>
      <x:c r="L195" s="75" t="str"/>
    </x:row>
    <x:row r="196">
      <x:c r="A196" s="73" t="n">
        <x:v>190</x:v>
      </x:c>
      <x:c r="B196" s="71" t="str">
        <x:v>Shrirangapattana</x:v>
      </x:c>
      <x:c r="C196" s="74" t="str">
        <x:v>GEN</x:v>
      </x:c>
      <x:c r="D196" s="71" t="str">
        <x:v>Mandya</x:v>
      </x:c>
      <x:c r="E196" s="71" t="str">
        <x:v>A. B. Ramesha Bandisiddegowda</x:v>
      </x:c>
      <x:c r="F196" s="74" t="str">
        <x:v>INC</x:v>
      </x:c>
      <x:c r="G196" s="71" t="str">
        <x:v>Indian National Congress</x:v>
      </x:c>
      <x:c r="H196" s="77" t="str">
        <x:v>#00BFFF</x:v>
      </x:c>
      <x:c r="I196" s="75" t="str"/>
      <x:c r="J196" s="75" t="str">
        <x:v>https://en.wikipedia.org/wiki/Shrirangapattana_(Karnataka_Assembly_constituency)</x:v>
      </x:c>
      <x:c r="K196" s="75" t="str">
        <x:v>https://en.wikipedia.org/wiki/Karnataka_Legislative_Assembly</x:v>
      </x:c>
      <x:c r="L196" s="75" t="str"/>
    </x:row>
    <x:row r="197">
      <x:c r="A197" s="73" t="n">
        <x:v>191</x:v>
      </x:c>
      <x:c r="B197" s="71" t="str">
        <x:v>Nagamangala</x:v>
      </x:c>
      <x:c r="C197" s="74" t="str">
        <x:v>GEN</x:v>
      </x:c>
      <x:c r="D197" s="71" t="str">
        <x:v>Mandya</x:v>
      </x:c>
      <x:c r="E197" s="71" t="str">
        <x:v>N. Chaluvaraya Swamy</x:v>
      </x:c>
      <x:c r="F197" s="74" t="str">
        <x:v>INC</x:v>
      </x:c>
      <x:c r="G197" s="71" t="str">
        <x:v>Indian National Congress</x:v>
      </x:c>
      <x:c r="H197" s="77" t="str">
        <x:v>#00BFFF</x:v>
      </x:c>
      <x:c r="I197" s="75" t="str"/>
      <x:c r="J197" s="75" t="str">
        <x:v>https://en.wikipedia.org/wiki/Nagamangala_(Vidhana_Sabha_constituency)</x:v>
      </x:c>
      <x:c r="K197" s="75" t="str">
        <x:v>https://en.wikipedia.org/wiki/Karnataka_Legislative_Assembly</x:v>
      </x:c>
      <x:c r="L197" s="75" t="str"/>
    </x:row>
    <x:row r="198">
      <x:c r="A198" s="73" t="n">
        <x:v>192</x:v>
      </x:c>
      <x:c r="B198" s="71" t="str">
        <x:v>Krishnarajapet</x:v>
      </x:c>
      <x:c r="C198" s="74" t="str">
        <x:v>GEN</x:v>
      </x:c>
      <x:c r="D198" s="71" t="str">
        <x:v>Mandya</x:v>
      </x:c>
      <x:c r="E198" s="71" t="str">
        <x:v>H. T. Manju</x:v>
      </x:c>
      <x:c r="F198" s="74" t="str">
        <x:v>JDS</x:v>
      </x:c>
      <x:c r="G198" s="71" t="str">
        <x:v>Janata Dal (Secular)</x:v>
      </x:c>
      <x:c r="H198" s="78" t="str">
        <x:v>#02865A</x:v>
      </x:c>
      <x:c r="I198" s="75" t="str"/>
      <x:c r="J198" s="75" t="str">
        <x:v>https://en.wikipedia.org/wiki/Krishnarajpete_(Vidhana_Sabha_constituency)</x:v>
      </x:c>
      <x:c r="K198" s="75" t="str">
        <x:v>https://en.wikipedia.org/wiki/Karnataka_Legislative_Assembly</x:v>
      </x:c>
      <x:c r="L198" s="75" t="str"/>
    </x:row>
    <x:row r="199">
      <x:c r="A199" s="73" t="n">
        <x:v>193</x:v>
      </x:c>
      <x:c r="B199" s="71" t="str">
        <x:v>Shravanabelagola</x:v>
      </x:c>
      <x:c r="C199" s="74" t="str">
        <x:v>GEN</x:v>
      </x:c>
      <x:c r="D199" s="71" t="str">
        <x:v>Hassan</x:v>
      </x:c>
      <x:c r="E199" s="71" t="str">
        <x:v>C. N. Balakrishna</x:v>
      </x:c>
      <x:c r="F199" s="74" t="str">
        <x:v>JDS</x:v>
      </x:c>
      <x:c r="G199" s="71" t="str">
        <x:v>Janata Dal (Secular)</x:v>
      </x:c>
      <x:c r="H199" s="78" t="str">
        <x:v>#02865A</x:v>
      </x:c>
      <x:c r="I199" s="75" t="str"/>
      <x:c r="J199" s="75" t="str">
        <x:v>https://en.wikipedia.org/wiki/Shravanabelagola_(Karnataka_Assembly_constituency)</x:v>
      </x:c>
      <x:c r="K199" s="75" t="str">
        <x:v>https://en.wikipedia.org/wiki/Karnataka_Legislative_Assembly</x:v>
      </x:c>
      <x:c r="L199" s="75" t="str"/>
    </x:row>
    <x:row r="200">
      <x:c r="A200" s="73" t="n">
        <x:v>194</x:v>
      </x:c>
      <x:c r="B200" s="71" t="str">
        <x:v>Arsikere</x:v>
      </x:c>
      <x:c r="C200" s="74" t="str">
        <x:v>GEN</x:v>
      </x:c>
      <x:c r="D200" s="71" t="str">
        <x:v>Hassan</x:v>
      </x:c>
      <x:c r="E200" s="71" t="str">
        <x:v>K. M. Shivalinge Gowda</x:v>
      </x:c>
      <x:c r="F200" s="74" t="str">
        <x:v>INC</x:v>
      </x:c>
      <x:c r="G200" s="71" t="str">
        <x:v>Indian National Congress</x:v>
      </x:c>
      <x:c r="H200" s="77" t="str">
        <x:v>#00BFFF</x:v>
      </x:c>
      <x:c r="I200" s="75" t="str"/>
      <x:c r="J200" s="75" t="str">
        <x:v>https://en.wikipedia.org/wiki/Arsikere_(Karnataka_Assembly_constituency)</x:v>
      </x:c>
      <x:c r="K200" s="75" t="str">
        <x:v>https://en.wikipedia.org/wiki/Karnataka_Legislative_Assembly</x:v>
      </x:c>
      <x:c r="L200" s="75" t="str"/>
    </x:row>
    <x:row r="201">
      <x:c r="A201" s="73" t="n">
        <x:v>195</x:v>
      </x:c>
      <x:c r="B201" s="71" t="str">
        <x:v>Belur</x:v>
      </x:c>
      <x:c r="C201" s="74" t="str">
        <x:v>GEN</x:v>
      </x:c>
      <x:c r="D201" s="71" t="str">
        <x:v>Hassan</x:v>
      </x:c>
      <x:c r="E201" s="71" t="str">
        <x:v>H. K. Suresh</x:v>
      </x:c>
      <x:c r="F201" s="74" t="str">
        <x:v>BJP</x:v>
      </x:c>
      <x:c r="G201" s="71" t="str">
        <x:v>Bharatiya Janata Party</x:v>
      </x:c>
      <x:c r="H201" s="76" t="str">
        <x:v>#FF9933</x:v>
      </x:c>
      <x:c r="I201" s="75" t="str"/>
      <x:c r="J201" s="75" t="str">
        <x:v>https://en.wikipedia.org/wiki/Belur_(Karnataka_Assembly_constituency)</x:v>
      </x:c>
      <x:c r="K201" s="75" t="str">
        <x:v>https://en.wikipedia.org/wiki/Karnataka_Legislative_Assembly</x:v>
      </x:c>
      <x:c r="L201" s="75" t="str"/>
    </x:row>
    <x:row r="202">
      <x:c r="A202" s="73" t="n">
        <x:v>196</x:v>
      </x:c>
      <x:c r="B202" s="71" t="str">
        <x:v>Hassan</x:v>
      </x:c>
      <x:c r="C202" s="74" t="str">
        <x:v>GEN</x:v>
      </x:c>
      <x:c r="D202" s="71" t="str">
        <x:v>Hassan</x:v>
      </x:c>
      <x:c r="E202" s="71" t="str">
        <x:v>Swaroop Prakash</x:v>
      </x:c>
      <x:c r="F202" s="74" t="str">
        <x:v>JDS</x:v>
      </x:c>
      <x:c r="G202" s="71" t="str">
        <x:v>Janata Dal (Secular)</x:v>
      </x:c>
      <x:c r="H202" s="78" t="str">
        <x:v>#02865A</x:v>
      </x:c>
      <x:c r="I202" s="75" t="str"/>
      <x:c r="J202" s="75" t="str">
        <x:v>https://en.wikipedia.org/wiki/Hassan_(Vidhana_Sabha_constituency)</x:v>
      </x:c>
      <x:c r="K202" s="75" t="str">
        <x:v>https://en.wikipedia.org/wiki/Karnataka_Legislative_Assembly</x:v>
      </x:c>
      <x:c r="L202" s="75" t="str"/>
    </x:row>
    <x:row r="203">
      <x:c r="A203" s="73" t="n">
        <x:v>197</x:v>
      </x:c>
      <x:c r="B203" s="71" t="str">
        <x:v>Holenarasipur</x:v>
      </x:c>
      <x:c r="C203" s="74" t="str">
        <x:v>GEN</x:v>
      </x:c>
      <x:c r="D203" s="71" t="str">
        <x:v>Hassan</x:v>
      </x:c>
      <x:c r="E203" s="71" t="str">
        <x:v>H. D. Revanna</x:v>
      </x:c>
      <x:c r="F203" s="74" t="str">
        <x:v>JDS</x:v>
      </x:c>
      <x:c r="G203" s="71" t="str">
        <x:v>Janata Dal (Secular)</x:v>
      </x:c>
      <x:c r="H203" s="78" t="str">
        <x:v>#02865A</x:v>
      </x:c>
      <x:c r="I203" s="75" t="str"/>
      <x:c r="J203" s="75" t="str">
        <x:v>https://en.wikipedia.org/wiki/Holenarasipur_(Vidhan_Sabha_constituency)</x:v>
      </x:c>
      <x:c r="K203" s="75" t="str">
        <x:v>https://en.wikipedia.org/wiki/Karnataka_Legislative_Assembly</x:v>
      </x:c>
      <x:c r="L203" s="75" t="str"/>
    </x:row>
    <x:row r="204">
      <x:c r="A204" s="73" t="n">
        <x:v>198</x:v>
      </x:c>
      <x:c r="B204" s="71" t="str">
        <x:v>Arkalgud</x:v>
      </x:c>
      <x:c r="C204" s="74" t="str">
        <x:v>GEN</x:v>
      </x:c>
      <x:c r="D204" s="71" t="str">
        <x:v>Hassan</x:v>
      </x:c>
      <x:c r="E204" s="71" t="str">
        <x:v>A. Manju</x:v>
      </x:c>
      <x:c r="F204" s="74" t="str">
        <x:v>JDS</x:v>
      </x:c>
      <x:c r="G204" s="71" t="str">
        <x:v>Janata Dal (Secular)</x:v>
      </x:c>
      <x:c r="H204" s="78" t="str">
        <x:v>#02865A</x:v>
      </x:c>
      <x:c r="I204" s="75" t="str"/>
      <x:c r="J204" s="75" t="str">
        <x:v>https://en.wikipedia.org/wiki/Arkalgud_(Vidhana_Sabha_constituency)</x:v>
      </x:c>
      <x:c r="K204" s="75" t="str">
        <x:v>https://en.wikipedia.org/wiki/Karnataka_Legislative_Assembly</x:v>
      </x:c>
      <x:c r="L204" s="75" t="str"/>
    </x:row>
    <x:row r="205">
      <x:c r="A205" s="73" t="n">
        <x:v>199</x:v>
      </x:c>
      <x:c r="B205" s="71" t="str">
        <x:v>Sakleshpur</x:v>
      </x:c>
      <x:c r="C205" s="74" t="str">
        <x:v>SC</x:v>
      </x:c>
      <x:c r="D205" s="71" t="str">
        <x:v>Hassan</x:v>
      </x:c>
      <x:c r="E205" s="71" t="str">
        <x:v>Cement Manju</x:v>
      </x:c>
      <x:c r="F205" s="74" t="str">
        <x:v>BJP</x:v>
      </x:c>
      <x:c r="G205" s="71" t="str">
        <x:v>Bharatiya Janata Party</x:v>
      </x:c>
      <x:c r="H205" s="76" t="str">
        <x:v>#FF9933</x:v>
      </x:c>
      <x:c r="I205" s="75" t="str"/>
      <x:c r="J205" s="75" t="str">
        <x:v>https://en.wikipedia.org/wiki/Sakleshpur_(Karnataka_Assembly_constituency)</x:v>
      </x:c>
      <x:c r="K205" s="75" t="str">
        <x:v>https://en.wikipedia.org/wiki/Karnataka_Legislative_Assembly</x:v>
      </x:c>
      <x:c r="L205" s="75" t="str"/>
    </x:row>
    <x:row r="206">
      <x:c r="A206" s="73" t="n">
        <x:v>200</x:v>
      </x:c>
      <x:c r="B206" s="71" t="str">
        <x:v>Belthangady</x:v>
      </x:c>
      <x:c r="C206" s="74" t="str">
        <x:v>GEN</x:v>
      </x:c>
      <x:c r="D206" s="71" t="str">
        <x:v>Dakshina Kannada</x:v>
      </x:c>
      <x:c r="E206" s="71" t="str">
        <x:v>Harish Poonja</x:v>
      </x:c>
      <x:c r="F206" s="74" t="str">
        <x:v>BJP</x:v>
      </x:c>
      <x:c r="G206" s="71" t="str">
        <x:v>Bharatiya Janata Party</x:v>
      </x:c>
      <x:c r="H206" s="76" t="str">
        <x:v>#FF9933</x:v>
      </x:c>
      <x:c r="I206" s="75" t="str"/>
      <x:c r="J206" s="75" t="str">
        <x:v>https://en.wikipedia.org/wiki/Belthangady_(Vidhana_Sabha_constituency)</x:v>
      </x:c>
      <x:c r="K206" s="75" t="str">
        <x:v>https://en.wikipedia.org/wiki/Karnataka_Legislative_Assembly</x:v>
      </x:c>
      <x:c r="L206" s="75" t="str"/>
    </x:row>
    <x:row r="207">
      <x:c r="A207" s="73" t="n">
        <x:v>201</x:v>
      </x:c>
      <x:c r="B207" s="71" t="str">
        <x:v>Moodabidri</x:v>
      </x:c>
      <x:c r="C207" s="74" t="str">
        <x:v>GEN</x:v>
      </x:c>
      <x:c r="D207" s="71" t="str">
        <x:v>Dakshina Kannada</x:v>
      </x:c>
      <x:c r="E207" s="71" t="str">
        <x:v>Umanatha Kotian</x:v>
      </x:c>
      <x:c r="F207" s="74" t="str">
        <x:v>BJP</x:v>
      </x:c>
      <x:c r="G207" s="71" t="str">
        <x:v>Bharatiya Janata Party</x:v>
      </x:c>
      <x:c r="H207" s="76" t="str">
        <x:v>#FF9933</x:v>
      </x:c>
      <x:c r="I207" s="75" t="str"/>
      <x:c r="J207" s="75" t="str">
        <x:v>https://en.wikipedia.org/wiki/Moodabidri_(Karnataka_Assembly_constituency)</x:v>
      </x:c>
      <x:c r="K207" s="75" t="str">
        <x:v>https://en.wikipedia.org/wiki/Karnataka_Legislative_Assembly</x:v>
      </x:c>
      <x:c r="L207" s="75" t="str"/>
    </x:row>
    <x:row r="208">
      <x:c r="A208" s="73" t="n">
        <x:v>202</x:v>
      </x:c>
      <x:c r="B208" s="71" t="str">
        <x:v>Mangalore City North</x:v>
      </x:c>
      <x:c r="C208" s="74" t="str">
        <x:v>GEN</x:v>
      </x:c>
      <x:c r="D208" s="71" t="str">
        <x:v>Dakshina Kannada</x:v>
      </x:c>
      <x:c r="E208" s="71" t="str">
        <x:v>Y. Bharath Shetty</x:v>
      </x:c>
      <x:c r="F208" s="74" t="str">
        <x:v>BJP</x:v>
      </x:c>
      <x:c r="G208" s="71" t="str">
        <x:v>Bharatiya Janata Party</x:v>
      </x:c>
      <x:c r="H208" s="76" t="str">
        <x:v>#FF9933</x:v>
      </x:c>
      <x:c r="I208" s="75" t="str"/>
      <x:c r="J208" s="75" t="str">
        <x:v>https://en.wikipedia.org/wiki/Mangalore_City_North_(Vidhana_Sabha_constituency)</x:v>
      </x:c>
      <x:c r="K208" s="75" t="str">
        <x:v>https://en.wikipedia.org/wiki/Karnataka_Legislative_Assembly</x:v>
      </x:c>
      <x:c r="L208" s="75" t="str"/>
    </x:row>
    <x:row r="209">
      <x:c r="A209" s="73" t="n">
        <x:v>203</x:v>
      </x:c>
      <x:c r="B209" s="71" t="str">
        <x:v>Mangalore City South</x:v>
      </x:c>
      <x:c r="C209" s="74" t="str">
        <x:v>GEN</x:v>
      </x:c>
      <x:c r="D209" s="71" t="str">
        <x:v>Dakshina Kannada</x:v>
      </x:c>
      <x:c r="E209" s="71" t="str">
        <x:v>D. Vedavyasa Kamath</x:v>
      </x:c>
      <x:c r="F209" s="74" t="str">
        <x:v>BJP</x:v>
      </x:c>
      <x:c r="G209" s="71" t="str">
        <x:v>Bharatiya Janata Party</x:v>
      </x:c>
      <x:c r="H209" s="76" t="str">
        <x:v>#FF9933</x:v>
      </x:c>
      <x:c r="I209" s="75" t="str"/>
      <x:c r="J209" s="75" t="str">
        <x:v>https://en.wikipedia.org/wiki/Mangalore_City_South_(Vidhana_Sabha_constituency)</x:v>
      </x:c>
      <x:c r="K209" s="75" t="str">
        <x:v>https://en.wikipedia.org/wiki/Karnataka_Legislative_Assembly</x:v>
      </x:c>
      <x:c r="L209" s="75" t="str"/>
    </x:row>
    <x:row r="210">
      <x:c r="A210" s="73" t="n">
        <x:v>204</x:v>
      </x:c>
      <x:c r="B210" s="71" t="str">
        <x:v>Mangalore</x:v>
      </x:c>
      <x:c r="C210" s="74" t="str">
        <x:v>GEN</x:v>
      </x:c>
      <x:c r="D210" s="71" t="str">
        <x:v>Dakshina Kannada</x:v>
      </x:c>
      <x:c r="E210" s="71" t="str">
        <x:v>U. T. Khader</x:v>
      </x:c>
      <x:c r="F210" s="74" t="str">
        <x:v>INC</x:v>
      </x:c>
      <x:c r="G210" s="71" t="str">
        <x:v>Indian National Congress</x:v>
      </x:c>
      <x:c r="H210" s="77" t="str">
        <x:v>#00BFFF</x:v>
      </x:c>
      <x:c r="I210" s="75" t="str">
        <x:v>Former Speaker; Cabinet Minister (Shivakumar ministry)</x:v>
      </x:c>
      <x:c r="J210" s="75" t="str">
        <x:v>https://en.wikipedia.org/wiki/Mangalore_(Vidhana_Sabha_constituency)</x:v>
      </x:c>
      <x:c r="K210" s="75" t="str">
        <x:v>https://en.wikipedia.org/wiki/Karnataka_Legislative_Assembly</x:v>
      </x:c>
      <x:c r="L210" s="75" t="str"/>
    </x:row>
    <x:row r="211">
      <x:c r="A211" s="73" t="n">
        <x:v>205</x:v>
      </x:c>
      <x:c r="B211" s="71" t="str">
        <x:v>Bantval</x:v>
      </x:c>
      <x:c r="C211" s="74" t="str">
        <x:v>GEN</x:v>
      </x:c>
      <x:c r="D211" s="71" t="str">
        <x:v>Dakshina Kannada</x:v>
      </x:c>
      <x:c r="E211" s="71" t="str">
        <x:v>U. Rajesh Naik</x:v>
      </x:c>
      <x:c r="F211" s="74" t="str">
        <x:v>BJP</x:v>
      </x:c>
      <x:c r="G211" s="71" t="str">
        <x:v>Bharatiya Janata Party</x:v>
      </x:c>
      <x:c r="H211" s="76" t="str">
        <x:v>#FF9933</x:v>
      </x:c>
      <x:c r="I211" s="75" t="str"/>
      <x:c r="J211" s="75" t="str">
        <x:v>https://en.wikipedia.org/wiki/Bantval_(Karnataka_Assembly_constituency)</x:v>
      </x:c>
      <x:c r="K211" s="75" t="str">
        <x:v>https://en.wikipedia.org/wiki/Karnataka_Legislative_Assembly</x:v>
      </x:c>
      <x:c r="L211" s="75" t="str"/>
    </x:row>
    <x:row r="212">
      <x:c r="A212" s="73" t="n">
        <x:v>206</x:v>
      </x:c>
      <x:c r="B212" s="71" t="str">
        <x:v>Puttur</x:v>
      </x:c>
      <x:c r="C212" s="74" t="str">
        <x:v>GEN</x:v>
      </x:c>
      <x:c r="D212" s="71" t="str">
        <x:v>Dakshina Kannada</x:v>
      </x:c>
      <x:c r="E212" s="71" t="str">
        <x:v>Ashok Kumar Rai</x:v>
      </x:c>
      <x:c r="F212" s="74" t="str">
        <x:v>INC</x:v>
      </x:c>
      <x:c r="G212" s="71" t="str">
        <x:v>Indian National Congress</x:v>
      </x:c>
      <x:c r="H212" s="77" t="str">
        <x:v>#00BFFF</x:v>
      </x:c>
      <x:c r="I212" s="75" t="str"/>
      <x:c r="J212" s="75" t="str">
        <x:v>https://en.wikipedia.org/wiki/Puttur_(Vidhana_Sabha_constituency)</x:v>
      </x:c>
      <x:c r="K212" s="75" t="str">
        <x:v>https://en.wikipedia.org/wiki/Karnataka_Legislative_Assembly</x:v>
      </x:c>
      <x:c r="L212" s="75" t="str"/>
    </x:row>
    <x:row r="213">
      <x:c r="A213" s="73" t="n">
        <x:v>207</x:v>
      </x:c>
      <x:c r="B213" s="71" t="str">
        <x:v>Sullia</x:v>
      </x:c>
      <x:c r="C213" s="74" t="str">
        <x:v>SC</x:v>
      </x:c>
      <x:c r="D213" s="71" t="str">
        <x:v>Dakshina Kannada</x:v>
      </x:c>
      <x:c r="E213" s="71" t="str">
        <x:v>Bhagirathi Murulya</x:v>
      </x:c>
      <x:c r="F213" s="74" t="str">
        <x:v>BJP</x:v>
      </x:c>
      <x:c r="G213" s="71" t="str">
        <x:v>Bharatiya Janata Party</x:v>
      </x:c>
      <x:c r="H213" s="76" t="str">
        <x:v>#FF9933</x:v>
      </x:c>
      <x:c r="I213" s="75" t="str"/>
      <x:c r="J213" s="75" t="str">
        <x:v>https://en.wikipedia.org/wiki/Sullia_(Karnataka_Assembly_constituency)</x:v>
      </x:c>
      <x:c r="K213" s="75" t="str">
        <x:v>https://en.wikipedia.org/wiki/Karnataka_Legislative_Assembly</x:v>
      </x:c>
      <x:c r="L213" s="75" t="str"/>
    </x:row>
    <x:row r="214">
      <x:c r="A214" s="73" t="n">
        <x:v>208</x:v>
      </x:c>
      <x:c r="B214" s="71" t="str">
        <x:v>Madikeri</x:v>
      </x:c>
      <x:c r="C214" s="74" t="str">
        <x:v>GEN</x:v>
      </x:c>
      <x:c r="D214" s="71" t="str">
        <x:v>Kodagu</x:v>
      </x:c>
      <x:c r="E214" s="71" t="str">
        <x:v>Mantar Gowda</x:v>
      </x:c>
      <x:c r="F214" s="74" t="str">
        <x:v>INC</x:v>
      </x:c>
      <x:c r="G214" s="71" t="str">
        <x:v>Indian National Congress</x:v>
      </x:c>
      <x:c r="H214" s="77" t="str">
        <x:v>#00BFFF</x:v>
      </x:c>
      <x:c r="I214" s="75" t="str"/>
      <x:c r="J214" s="75" t="str">
        <x:v>https://en.wikipedia.org/wiki/Madikeri_(Karnataka_Assembly_constituency)</x:v>
      </x:c>
      <x:c r="K214" s="75" t="str">
        <x:v>https://en.wikipedia.org/wiki/Karnataka_Legislative_Assembly</x:v>
      </x:c>
      <x:c r="L214" s="75" t="str"/>
    </x:row>
    <x:row r="215">
      <x:c r="A215" s="73" t="n">
        <x:v>209</x:v>
      </x:c>
      <x:c r="B215" s="71" t="str">
        <x:v>Virajpet</x:v>
      </x:c>
      <x:c r="C215" s="74" t="str">
        <x:v>GEN</x:v>
      </x:c>
      <x:c r="D215" s="71" t="str">
        <x:v>Kodagu</x:v>
      </x:c>
      <x:c r="E215" s="71" t="str">
        <x:v>A. S. Ponnanna</x:v>
      </x:c>
      <x:c r="F215" s="74" t="str">
        <x:v>INC</x:v>
      </x:c>
      <x:c r="G215" s="71" t="str">
        <x:v>Indian National Congress</x:v>
      </x:c>
      <x:c r="H215" s="77" t="str">
        <x:v>#00BFFF</x:v>
      </x:c>
      <x:c r="I215" s="75" t="str"/>
      <x:c r="J215" s="75" t="str">
        <x:v>https://en.wikipedia.org/wiki/Virajpet_(Vidhana_Sabha_constituency)</x:v>
      </x:c>
      <x:c r="K215" s="75" t="str">
        <x:v>https://en.wikipedia.org/wiki/Karnataka_Legislative_Assembly</x:v>
      </x:c>
      <x:c r="L215" s="75" t="str"/>
    </x:row>
    <x:row r="216">
      <x:c r="A216" s="73" t="n">
        <x:v>210</x:v>
      </x:c>
      <x:c r="B216" s="71" t="str">
        <x:v>Periyapatna</x:v>
      </x:c>
      <x:c r="C216" s="74" t="str">
        <x:v>GEN</x:v>
      </x:c>
      <x:c r="D216" s="71" t="str">
        <x:v>Mysore</x:v>
      </x:c>
      <x:c r="E216" s="71" t="str">
        <x:v>K. Venkatesh</x:v>
      </x:c>
      <x:c r="F216" s="74" t="str">
        <x:v>INC</x:v>
      </x:c>
      <x:c r="G216" s="71" t="str">
        <x:v>Indian National Congress</x:v>
      </x:c>
      <x:c r="H216" s="77" t="str">
        <x:v>#00BFFF</x:v>
      </x:c>
      <x:c r="I216" s="75" t="str"/>
      <x:c r="J216" s="75" t="str">
        <x:v>https://en.wikipedia.org/wiki/Periyapatna_(Karnataka_Assembly_constituency)</x:v>
      </x:c>
      <x:c r="K216" s="75" t="str">
        <x:v>https://en.wikipedia.org/wiki/Karnataka_Legislative_Assembly</x:v>
      </x:c>
      <x:c r="L216" s="75" t="str"/>
    </x:row>
    <x:row r="217">
      <x:c r="A217" s="73" t="n">
        <x:v>211</x:v>
      </x:c>
      <x:c r="B217" s="71" t="str">
        <x:v>Krishnarajanagara</x:v>
      </x:c>
      <x:c r="C217" s="74" t="str">
        <x:v>GEN</x:v>
      </x:c>
      <x:c r="D217" s="71" t="str">
        <x:v>Mysore</x:v>
      </x:c>
      <x:c r="E217" s="71" t="str">
        <x:v>D. Ravishankar</x:v>
      </x:c>
      <x:c r="F217" s="74" t="str">
        <x:v>INC</x:v>
      </x:c>
      <x:c r="G217" s="71" t="str">
        <x:v>Indian National Congress</x:v>
      </x:c>
      <x:c r="H217" s="77" t="str">
        <x:v>#00BFFF</x:v>
      </x:c>
      <x:c r="I217" s="75" t="str"/>
      <x:c r="J217" s="75" t="str">
        <x:v>https://en.wikipedia.org/wiki/Krishnarajanagara_(Karnataka_Assembly_constituency)</x:v>
      </x:c>
      <x:c r="K217" s="75" t="str">
        <x:v>https://en.wikipedia.org/wiki/Karnataka_Legislative_Assembly</x:v>
      </x:c>
      <x:c r="L217" s="75" t="str"/>
    </x:row>
    <x:row r="218">
      <x:c r="A218" s="73" t="n">
        <x:v>212</x:v>
      </x:c>
      <x:c r="B218" s="71" t="str">
        <x:v>Hunsur</x:v>
      </x:c>
      <x:c r="C218" s="74" t="str">
        <x:v>GEN</x:v>
      </x:c>
      <x:c r="D218" s="71" t="str">
        <x:v>Mysore</x:v>
      </x:c>
      <x:c r="E218" s="71" t="str">
        <x:v>G. D. Harish Gowda</x:v>
      </x:c>
      <x:c r="F218" s="74" t="str">
        <x:v>JDS</x:v>
      </x:c>
      <x:c r="G218" s="71" t="str">
        <x:v>Janata Dal (Secular)</x:v>
      </x:c>
      <x:c r="H218" s="78" t="str">
        <x:v>#02865A</x:v>
      </x:c>
      <x:c r="I218" s="75" t="str"/>
      <x:c r="J218" s="75" t="str">
        <x:v>https://en.wikipedia.org/wiki/Hunasuru_(Vidhana_Sabha_constituency)</x:v>
      </x:c>
      <x:c r="K218" s="75" t="str">
        <x:v>https://en.wikipedia.org/wiki/Karnataka_Legislative_Assembly</x:v>
      </x:c>
      <x:c r="L218" s="75" t="str"/>
    </x:row>
    <x:row r="219">
      <x:c r="A219" s="73" t="n">
        <x:v>213</x:v>
      </x:c>
      <x:c r="B219" s="71" t="str">
        <x:v>Heggadadevankote</x:v>
      </x:c>
      <x:c r="C219" s="74" t="str">
        <x:v>ST</x:v>
      </x:c>
      <x:c r="D219" s="71" t="str">
        <x:v>Mysore</x:v>
      </x:c>
      <x:c r="E219" s="71" t="str">
        <x:v>Anil Chikkamadhu</x:v>
      </x:c>
      <x:c r="F219" s="74" t="str">
        <x:v>INC</x:v>
      </x:c>
      <x:c r="G219" s="71" t="str">
        <x:v>Indian National Congress</x:v>
      </x:c>
      <x:c r="H219" s="77" t="str">
        <x:v>#00BFFF</x:v>
      </x:c>
      <x:c r="I219" s="75" t="str"/>
      <x:c r="J219" s="75" t="str">
        <x:v>https://en.wikipedia.org/wiki/Heggadadevankote_(Karnataka_Assembly_constituency)</x:v>
      </x:c>
      <x:c r="K219" s="75" t="str">
        <x:v>https://en.wikipedia.org/wiki/Karnataka_Legislative_Assembly</x:v>
      </x:c>
      <x:c r="L219" s="75" t="str"/>
    </x:row>
    <x:row r="220">
      <x:c r="A220" s="73" t="n">
        <x:v>214</x:v>
      </x:c>
      <x:c r="B220" s="71" t="str">
        <x:v>Nanjangud</x:v>
      </x:c>
      <x:c r="C220" s="74" t="str">
        <x:v>SC</x:v>
      </x:c>
      <x:c r="D220" s="71" t="str">
        <x:v>Mysore</x:v>
      </x:c>
      <x:c r="E220" s="71" t="str">
        <x:v>Darshan Dhruvanarayana</x:v>
      </x:c>
      <x:c r="F220" s="74" t="str">
        <x:v>INC</x:v>
      </x:c>
      <x:c r="G220" s="71" t="str">
        <x:v>Indian National Congress</x:v>
      </x:c>
      <x:c r="H220" s="77" t="str">
        <x:v>#00BFFF</x:v>
      </x:c>
      <x:c r="I220" s="75" t="str"/>
      <x:c r="J220" s="75" t="str">
        <x:v>https://en.wikipedia.org/wiki/Nanjangud_(Karnataka_Assembly_constituency)</x:v>
      </x:c>
      <x:c r="K220" s="75" t="str">
        <x:v>https://en.wikipedia.org/wiki/Karnataka_Legislative_Assembly</x:v>
      </x:c>
      <x:c r="L220" s="75" t="str"/>
    </x:row>
    <x:row r="221">
      <x:c r="A221" s="73" t="n">
        <x:v>215</x:v>
      </x:c>
      <x:c r="B221" s="71" t="str">
        <x:v>Chamundeshwari</x:v>
      </x:c>
      <x:c r="C221" s="74" t="str">
        <x:v>GEN</x:v>
      </x:c>
      <x:c r="D221" s="71" t="str">
        <x:v>Mysore</x:v>
      </x:c>
      <x:c r="E221" s="71" t="str">
        <x:v>G. T. Devegowda</x:v>
      </x:c>
      <x:c r="F221" s="74" t="str">
        <x:v>JDS</x:v>
      </x:c>
      <x:c r="G221" s="71" t="str">
        <x:v>Janata Dal (Secular)</x:v>
      </x:c>
      <x:c r="H221" s="78" t="str">
        <x:v>#02865A</x:v>
      </x:c>
      <x:c r="I221" s="75" t="str"/>
      <x:c r="J221" s="75" t="str">
        <x:v>https://en.wikipedia.org/wiki/Chamundeshwari_(Vidhana_Sabha_constituency)</x:v>
      </x:c>
      <x:c r="K221" s="75" t="str">
        <x:v>https://en.wikipedia.org/wiki/Karnataka_Legislative_Assembly</x:v>
      </x:c>
      <x:c r="L221" s="75" t="str"/>
    </x:row>
    <x:row r="222">
      <x:c r="A222" s="73" t="n">
        <x:v>216</x:v>
      </x:c>
      <x:c r="B222" s="71" t="str">
        <x:v>Krishnaraja</x:v>
      </x:c>
      <x:c r="C222" s="74" t="str">
        <x:v>GEN</x:v>
      </x:c>
      <x:c r="D222" s="71" t="str">
        <x:v>Mysore</x:v>
      </x:c>
      <x:c r="E222" s="71" t="str">
        <x:v>T. S. Srivatsa</x:v>
      </x:c>
      <x:c r="F222" s="74" t="str">
        <x:v>BJP</x:v>
      </x:c>
      <x:c r="G222" s="71" t="str">
        <x:v>Bharatiya Janata Party</x:v>
      </x:c>
      <x:c r="H222" s="76" t="str">
        <x:v>#FF9933</x:v>
      </x:c>
      <x:c r="I222" s="75" t="str"/>
      <x:c r="J222" s="75" t="str">
        <x:v>https://en.wikipedia.org/wiki/Krishnaraja_(Vidhana_Sabha_constituency)</x:v>
      </x:c>
      <x:c r="K222" s="75" t="str">
        <x:v>https://en.wikipedia.org/wiki/Karnataka_Legislative_Assembly</x:v>
      </x:c>
      <x:c r="L222" s="75" t="str"/>
    </x:row>
    <x:row r="223">
      <x:c r="A223" s="73" t="n">
        <x:v>217</x:v>
      </x:c>
      <x:c r="B223" s="71" t="str">
        <x:v>Chamaraja</x:v>
      </x:c>
      <x:c r="C223" s="74" t="str">
        <x:v>GEN</x:v>
      </x:c>
      <x:c r="D223" s="71" t="str">
        <x:v>Mysore</x:v>
      </x:c>
      <x:c r="E223" s="71" t="str">
        <x:v>K. Harish Gowda</x:v>
      </x:c>
      <x:c r="F223" s="74" t="str">
        <x:v>INC</x:v>
      </x:c>
      <x:c r="G223" s="71" t="str">
        <x:v>Indian National Congress</x:v>
      </x:c>
      <x:c r="H223" s="77" t="str">
        <x:v>#00BFFF</x:v>
      </x:c>
      <x:c r="I223" s="75" t="str"/>
      <x:c r="J223" s="75" t="str">
        <x:v>https://en.wikipedia.org/wiki/Chamaraja_(Vidhana_Sabha_constituency)</x:v>
      </x:c>
      <x:c r="K223" s="75" t="str">
        <x:v>https://en.wikipedia.org/wiki/Karnataka_Legislative_Assembly</x:v>
      </x:c>
      <x:c r="L223" s="75" t="str"/>
    </x:row>
    <x:row r="224">
      <x:c r="A224" s="73" t="n">
        <x:v>218</x:v>
      </x:c>
      <x:c r="B224" s="71" t="str">
        <x:v>Narasimharaja</x:v>
      </x:c>
      <x:c r="C224" s="74" t="str">
        <x:v>GEN</x:v>
      </x:c>
      <x:c r="D224" s="71" t="str">
        <x:v>Mysore</x:v>
      </x:c>
      <x:c r="E224" s="71" t="str">
        <x:v>Tanveer Sait</x:v>
      </x:c>
      <x:c r="F224" s="74" t="str">
        <x:v>INC</x:v>
      </x:c>
      <x:c r="G224" s="71" t="str">
        <x:v>Indian National Congress</x:v>
      </x:c>
      <x:c r="H224" s="77" t="str">
        <x:v>#00BFFF</x:v>
      </x:c>
      <x:c r="I224" s="75" t="str"/>
      <x:c r="J224" s="75" t="str">
        <x:v>https://en.wikipedia.org/wiki/Narasimharaja_(Vidhana_Sabha_constituency)</x:v>
      </x:c>
      <x:c r="K224" s="75" t="str">
        <x:v>https://en.wikipedia.org/wiki/Karnataka_Legislative_Assembly</x:v>
      </x:c>
      <x:c r="L224" s="75" t="str"/>
    </x:row>
    <x:row r="225">
      <x:c r="A225" s="73" t="n">
        <x:v>219</x:v>
      </x:c>
      <x:c r="B225" s="71" t="str">
        <x:v>Varuna</x:v>
      </x:c>
      <x:c r="C225" s="74" t="str">
        <x:v>GEN</x:v>
      </x:c>
      <x:c r="D225" s="71" t="str">
        <x:v>Mysore</x:v>
      </x:c>
      <x:c r="E225" s="71" t="str">
        <x:v>Siddaramaiah</x:v>
      </x:c>
      <x:c r="F225" s="74" t="str">
        <x:v>INC</x:v>
      </x:c>
      <x:c r="G225" s="71" t="str">
        <x:v>Indian National Congress</x:v>
      </x:c>
      <x:c r="H225" s="77" t="str">
        <x:v>#00BFFF</x:v>
      </x:c>
      <x:c r="I225" s="75" t="str">
        <x:v>Former Chief Minister (2023–2026)</x:v>
      </x:c>
      <x:c r="J225" s="75" t="str">
        <x:v>https://en.wikipedia.org/wiki/Varuna_(Vidhana_Sabha_constituency)</x:v>
      </x:c>
      <x:c r="K225" s="75" t="str">
        <x:v>https://en.wikipedia.org/wiki/Karnataka_Legislative_Assembly</x:v>
      </x:c>
      <x:c r="L225" s="75" t="str"/>
    </x:row>
    <x:row r="226">
      <x:c r="A226" s="73" t="n">
        <x:v>220</x:v>
      </x:c>
      <x:c r="B226" s="71" t="str">
        <x:v>T. Narasipur</x:v>
      </x:c>
      <x:c r="C226" s="74" t="str">
        <x:v>SC</x:v>
      </x:c>
      <x:c r="D226" s="71" t="str">
        <x:v>Mysore</x:v>
      </x:c>
      <x:c r="E226" s="71" t="str">
        <x:v>H. C. Mahadevappa</x:v>
      </x:c>
      <x:c r="F226" s="74" t="str">
        <x:v>INC</x:v>
      </x:c>
      <x:c r="G226" s="71" t="str">
        <x:v>Indian National Congress</x:v>
      </x:c>
      <x:c r="H226" s="77" t="str">
        <x:v>#00BFFF</x:v>
      </x:c>
      <x:c r="I226" s="75" t="str"/>
      <x:c r="J226" s="75" t="str">
        <x:v>https://en.wikipedia.org/wiki/T._Narasipur_(Karnataka_Assembly_constituency)</x:v>
      </x:c>
      <x:c r="K226" s="75" t="str">
        <x:v>https://en.wikipedia.org/wiki/Karnataka_Legislative_Assembly</x:v>
      </x:c>
      <x:c r="L226" s="75" t="str"/>
    </x:row>
    <x:row r="227">
      <x:c r="A227" s="73" t="n">
        <x:v>221</x:v>
      </x:c>
      <x:c r="B227" s="71" t="str">
        <x:v>Hanur</x:v>
      </x:c>
      <x:c r="C227" s="74" t="str">
        <x:v>GEN</x:v>
      </x:c>
      <x:c r="D227" s="71" t="str">
        <x:v>Chamarajanagar</x:v>
      </x:c>
      <x:c r="E227" s="71" t="str">
        <x:v>M. R. Manjunath</x:v>
      </x:c>
      <x:c r="F227" s="74" t="str">
        <x:v>JDS</x:v>
      </x:c>
      <x:c r="G227" s="71" t="str">
        <x:v>Janata Dal (Secular)</x:v>
      </x:c>
      <x:c r="H227" s="78" t="str">
        <x:v>#02865A</x:v>
      </x:c>
      <x:c r="I227" s="75" t="str"/>
      <x:c r="J227" s="75" t="str">
        <x:v>https://en.wikipedia.org/wiki/Hanur_(Karnataka_Assembly_constituency)</x:v>
      </x:c>
      <x:c r="K227" s="75" t="str">
        <x:v>https://en.wikipedia.org/wiki/Karnataka_Legislative_Assembly</x:v>
      </x:c>
      <x:c r="L227" s="75" t="str"/>
    </x:row>
    <x:row r="228">
      <x:c r="A228" s="73" t="n">
        <x:v>222</x:v>
      </x:c>
      <x:c r="B228" s="71" t="str">
        <x:v>Kollegal</x:v>
      </x:c>
      <x:c r="C228" s="74" t="str">
        <x:v>SC</x:v>
      </x:c>
      <x:c r="D228" s="71" t="str">
        <x:v>Chamarajanagar</x:v>
      </x:c>
      <x:c r="E228" s="71" t="str">
        <x:v>A. R. Krishnamurthy</x:v>
      </x:c>
      <x:c r="F228" s="74" t="str">
        <x:v>INC</x:v>
      </x:c>
      <x:c r="G228" s="71" t="str">
        <x:v>Indian National Congress</x:v>
      </x:c>
      <x:c r="H228" s="77" t="str">
        <x:v>#00BFFF</x:v>
      </x:c>
      <x:c r="I228" s="75" t="str"/>
      <x:c r="J228" s="75" t="str">
        <x:v>https://en.wikipedia.org/wiki/Kollegal_(Karnataka_Assembly_constituency)</x:v>
      </x:c>
      <x:c r="K228" s="75" t="str">
        <x:v>https://en.wikipedia.org/wiki/Karnataka_Legislative_Assembly</x:v>
      </x:c>
      <x:c r="L228" s="75" t="str"/>
    </x:row>
    <x:row r="229">
      <x:c r="A229" s="73" t="n">
        <x:v>223</x:v>
      </x:c>
      <x:c r="B229" s="71" t="str">
        <x:v>Chamarajanagar</x:v>
      </x:c>
      <x:c r="C229" s="74" t="str">
        <x:v>GEN</x:v>
      </x:c>
      <x:c r="D229" s="71" t="str">
        <x:v>Chamarajanagar</x:v>
      </x:c>
      <x:c r="E229" s="71" t="str">
        <x:v>C. Puttarangashetty</x:v>
      </x:c>
      <x:c r="F229" s="74" t="str">
        <x:v>INC</x:v>
      </x:c>
      <x:c r="G229" s="71" t="str">
        <x:v>Indian National Congress</x:v>
      </x:c>
      <x:c r="H229" s="77" t="str">
        <x:v>#00BFFF</x:v>
      </x:c>
      <x:c r="I229" s="75" t="str"/>
      <x:c r="J229" s="75" t="str">
        <x:v>https://en.wikipedia.org/wiki/Chamarajanagar_(Vidhana_Sabha_constituency)</x:v>
      </x:c>
      <x:c r="K229" s="75" t="str">
        <x:v>https://en.wikipedia.org/wiki/Karnataka_Legislative_Assembly</x:v>
      </x:c>
      <x:c r="L229" s="75" t="str"/>
    </x:row>
    <x:row r="230">
      <x:c r="A230" s="73" t="n">
        <x:v>224</x:v>
      </x:c>
      <x:c r="B230" s="71" t="str">
        <x:v>Gundlupet</x:v>
      </x:c>
      <x:c r="C230" s="74" t="str">
        <x:v>GEN</x:v>
      </x:c>
      <x:c r="D230" s="71" t="str">
        <x:v>Chamarajanagar</x:v>
      </x:c>
      <x:c r="E230" s="71" t="str">
        <x:v>H M Ganesh Prasad</x:v>
      </x:c>
      <x:c r="F230" s="74" t="str">
        <x:v>INC</x:v>
      </x:c>
      <x:c r="G230" s="71" t="str">
        <x:v>Indian National Congress</x:v>
      </x:c>
      <x:c r="H230" s="77" t="str">
        <x:v>#00BFFF</x:v>
      </x:c>
      <x:c r="I230" s="75" t="str"/>
      <x:c r="J230" s="75" t="str">
        <x:v>https://en.wikipedia.org/wiki/Gundlupet_(Vidhana_Sabha_constituency)</x:v>
      </x:c>
      <x:c r="K230" s="75" t="str">
        <x:v>https://en.wikipedia.org/wiki/Karnataka_Legislative_Assembly</x:v>
      </x:c>
      <x:c r="L230" s="75" t="str"/>
    </x:row>
  </x:sheetData>
  <x:mergeCells>
    <x:mergeCell ref="A2:L2"/>
    <x:mergeCell ref="A4:L4"/>
  </x:mergeCells>
  <x:pageMargins left="0.7" right="0.7" top="0.75" bottom="0.75" header="0.3" footer="0.3"/>
  <x:tableParts count="1">
    <x:tablePart xmlns:r="http://schemas.openxmlformats.org/officeDocument/2006/relationships" r:id="Rb6cbe400697f4e9f"/>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4" hidden="0" customWidth="1"/>
    <x:col min="3" max="3" width="31" hidden="0" customWidth="1"/>
    <x:col min="4" max="4" width="16" hidden="0" customWidth="1"/>
    <x:col min="5" max="5" width="14" hidden="0" customWidth="1"/>
    <x:col min="6" max="6" width="64" hidden="0" customWidth="1"/>
  </x:cols>
  <x:sheetData>
    <x:row r="2" ht="26" customHeight="1">
      <x:c r="A2" s="1" t="str">
        <x:v>Party reference and frontend colors</x:v>
      </x:c>
      <x:c r="B2" s="1"/>
      <x:c r="C2" s="1"/>
      <x:c r="D2" s="1"/>
      <x:c r="E2" s="1"/>
      <x:c r="F2" s="1"/>
    </x:row>
    <x:row r="3">
      <x:c r="A3" s="3" t="str">
        <x:v>Source: https://en.wikipedia.org/wiki/Karnataka_Legislative_Assembly · Wikipedia revision 1376980974 · modified 2026-09-27</x:v>
      </x:c>
      <x:c r="B3" s="3"/>
      <x:c r="C3" s="3"/>
      <x:c r="D3" s="3"/>
      <x:c r="E3" s="3"/>
      <x:c r="F3" s="3"/>
    </x:row>
    <x:row r="5" ht="28" customHeight="1">
      <x:c r="A5" s="31" t="str">
        <x:v>Party ID</x:v>
      </x:c>
      <x:c r="B5" s="32" t="str">
        <x:v>Abbreviation</x:v>
      </x:c>
      <x:c r="C5" s="32" t="str">
        <x:v>Party</x:v>
      </x:c>
      <x:c r="D5" s="32" t="str">
        <x:v>Summary seats</x:v>
      </x:c>
      <x:c r="E5" s="32" t="str">
        <x:v>Color hex</x:v>
      </x:c>
      <x:c r="F5" s="33" t="str">
        <x:v>Color source</x:v>
      </x:c>
    </x:row>
    <x:row r="6">
      <x:c r="A6" s="4" t="str">
        <x:v>INC</x:v>
      </x:c>
      <x:c r="B6" s="4" t="str">
        <x:v>INC</x:v>
      </x:c>
      <x:c r="C6" s="4" t="str">
        <x:v>Indian National Congress</x:v>
      </x:c>
      <x:c r="D6" s="82" t="n">
        <x:v>136</x:v>
      </x:c>
      <x:c r="E6" s="40" t="str">
        <x:v>#00BFFF</x:v>
      </x:c>
      <x:c r="F6" s="4" t="str">
        <x:v>https://en.wikipedia.org/wiki/Karnataka_Legislative_Assembly (rendered party swatches in the members table)</x:v>
      </x:c>
    </x:row>
    <x:row r="7">
      <x:c r="A7" s="4" t="str">
        <x:v>BJP</x:v>
      </x:c>
      <x:c r="B7" s="4" t="str">
        <x:v>BJP</x:v>
      </x:c>
      <x:c r="C7" s="4" t="str">
        <x:v>Bharatiya Janata Party</x:v>
      </x:c>
      <x:c r="D7" s="82" t="n">
        <x:v>63</x:v>
      </x:c>
      <x:c r="E7" s="41" t="str">
        <x:v>#FF9933</x:v>
      </x:c>
      <x:c r="F7" s="4" t="str">
        <x:v>https://en.wikipedia.org/wiki/Karnataka_Legislative_Assembly (rendered party swatches in the members table)</x:v>
      </x:c>
    </x:row>
    <x:row r="8">
      <x:c r="A8" s="4" t="str">
        <x:v>JDS</x:v>
      </x:c>
      <x:c r="B8" s="4" t="str">
        <x:v>JD(S)</x:v>
      </x:c>
      <x:c r="C8" s="4" t="str">
        <x:v>Janata Dal (Secular)</x:v>
      </x:c>
      <x:c r="D8" s="82" t="n">
        <x:v>18</x:v>
      </x:c>
      <x:c r="E8" s="42" t="str">
        <x:v>#02865A</x:v>
      </x:c>
      <x:c r="F8" s="4" t="str">
        <x:v>https://en.wikipedia.org/wiki/Karnataka_Legislative_Assembly (rendered party swatches in the members table)</x:v>
      </x:c>
    </x:row>
    <x:row r="9">
      <x:c r="A9" s="4" t="str">
        <x:v>SKP</x:v>
      </x:c>
      <x:c r="B9" s="4" t="str">
        <x:v>SKP</x:v>
      </x:c>
      <x:c r="C9" s="4" t="str">
        <x:v>Sarvodaya Karnataka Paksha</x:v>
      </x:c>
      <x:c r="D9" s="82" t="n">
        <x:v>1</x:v>
      </x:c>
      <x:c r="E9" s="43" t="str">
        <x:v>#FFFF00</x:v>
      </x:c>
      <x:c r="F9" s="4" t="str">
        <x:v>https://en.wikipedia.org/wiki/Karnataka_Legislative_Assembly (rendered party swatches in the members table)</x:v>
      </x:c>
    </x:row>
    <x:row r="10">
      <x:c r="A10" s="4" t="str">
        <x:v>IND</x:v>
      </x:c>
      <x:c r="B10" s="4" t="str">
        <x:v>IND</x:v>
      </x:c>
      <x:c r="C10" s="4" t="str">
        <x:v>Independent</x:v>
      </x:c>
      <x:c r="D10" s="82" t="n">
        <x:v>4</x:v>
      </x:c>
      <x:c r="E10" s="44" t="str">
        <x:v>#DCDCDC</x:v>
      </x:c>
      <x:c r="F10" s="4" t="str">
        <x:v>https://en.wikipedia.org/wiki/Karnataka_Legislative_Assembly (rendered party swatches in the members table)</x:v>
      </x:c>
    </x:row>
    <x:row r="11">
      <x:c r="A11" s="4" t="str">
        <x:v>VAC</x:v>
      </x:c>
      <x:c r="B11" s="4" t="str">
        <x:v>VAC</x:v>
      </x:c>
      <x:c r="C11" s="4" t="str">
        <x:v>Vacant</x:v>
      </x:c>
      <x:c r="D11" s="82" t="n">
        <x:v>2</x:v>
      </x:c>
      <x:c r="E11" s="45" t="str">
        <x:v>#FFFFFF</x:v>
      </x:c>
      <x:c r="F11" s="4" t="str">
        <x:v>https://en.wikipedia.org/wiki/Karnataka_Legislative_Assembly (composition table vacancy swatch)</x:v>
      </x:c>
    </x:row>
  </x:sheetData>
  <x:mergeCells>
    <x:mergeCell ref="A2:F2"/>
    <x:mergeCell ref="A3:F3"/>
  </x:mergeCells>
  <x:pageMargins left="0.7" right="0.7" top="0.75" bottom="0.75" header="0.3" footer="0.3"/>
  <x:tableParts count="1">
    <x:tablePart xmlns:r="http://schemas.openxmlformats.org/officeDocument/2006/relationships" r:id="Rc8f65e5001b040f4"/>
  </x:tableParts>
</x:worksheet>
</file>